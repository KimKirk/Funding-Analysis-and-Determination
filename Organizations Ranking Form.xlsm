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C:\Users\Michael\Desktop\Inbox\Career Change\"/>
    </mc:Choice>
  </mc:AlternateContent>
  <bookViews>
    <workbookView xWindow="0" yWindow="120" windowWidth="19140" windowHeight="7416" activeTab="1"/>
  </bookViews>
  <sheets>
    <sheet name="Form Overview" sheetId="4" r:id="rId1"/>
    <sheet name="User Ranking Form" sheetId="1" r:id="rId2"/>
    <sheet name="Values Table" sheetId="2" state="hidden" r:id="rId3"/>
    <sheet name="Analysis Sheet" sheetId="3" state="hidden" r:id="rId4"/>
  </sheets>
  <functionGroups builtInGroupCount="19"/>
  <calcPr calcId="162913"/>
</workbook>
</file>

<file path=xl/calcChain.xml><?xml version="1.0" encoding="utf-8"?>
<calcChain xmlns="http://schemas.openxmlformats.org/spreadsheetml/2006/main">
  <c r="AB4" i="3" l="1"/>
  <c r="G84" i="1"/>
  <c r="G85" i="1"/>
  <c r="B85" i="3"/>
  <c r="A54" i="3"/>
  <c r="A60" i="3"/>
  <c r="A47" i="3"/>
  <c r="A71" i="3"/>
  <c r="A28" i="3"/>
  <c r="A6" i="3"/>
  <c r="A35" i="3"/>
  <c r="A32" i="3"/>
  <c r="A7" i="3"/>
  <c r="A48" i="3"/>
  <c r="A49" i="3"/>
  <c r="A67" i="3"/>
  <c r="A38" i="3"/>
  <c r="A36" i="3"/>
  <c r="A18" i="3"/>
  <c r="A51" i="3"/>
  <c r="B60" i="3"/>
  <c r="A46" i="3"/>
  <c r="A59" i="3"/>
  <c r="A65" i="3"/>
  <c r="A43" i="3"/>
  <c r="A69" i="3"/>
  <c r="B84" i="3"/>
  <c r="A15" i="3"/>
  <c r="B15" i="3" s="1"/>
  <c r="B49" i="3"/>
  <c r="A34" i="3"/>
  <c r="A61" i="3"/>
  <c r="A73" i="3"/>
  <c r="A57" i="3"/>
  <c r="A20" i="3"/>
  <c r="A50" i="3"/>
  <c r="A17" i="3"/>
  <c r="A45" i="3"/>
  <c r="A41" i="3"/>
  <c r="B71" i="3"/>
  <c r="A83" i="3"/>
  <c r="A13" i="3"/>
  <c r="B69" i="3"/>
  <c r="A9" i="3"/>
  <c r="A80" i="3"/>
  <c r="B73" i="3"/>
  <c r="B48" i="3"/>
  <c r="A53" i="3"/>
  <c r="A62" i="3"/>
  <c r="A68" i="3"/>
  <c r="B68" i="3" s="1"/>
  <c r="A29" i="3"/>
  <c r="A30" i="3"/>
  <c r="A66" i="3"/>
  <c r="A37" i="3"/>
  <c r="A58" i="3"/>
  <c r="B58" i="3" s="1"/>
  <c r="A8" i="3"/>
  <c r="A44" i="3"/>
  <c r="A26" i="3"/>
  <c r="A81" i="3"/>
  <c r="A64" i="3"/>
  <c r="A19" i="3"/>
  <c r="A52" i="3"/>
  <c r="A5" i="3"/>
  <c r="A79" i="3"/>
  <c r="B57" i="3"/>
  <c r="A12" i="3"/>
  <c r="A72" i="3"/>
  <c r="B53" i="3"/>
  <c r="A70" i="3"/>
  <c r="A31" i="3"/>
  <c r="A56" i="3"/>
  <c r="A10" i="3"/>
  <c r="A14" i="3"/>
  <c r="B80" i="3"/>
  <c r="A63" i="3"/>
  <c r="A39" i="3"/>
  <c r="A77" i="3"/>
  <c r="A25" i="3"/>
  <c r="A40" i="3"/>
  <c r="B40" i="3" s="1"/>
  <c r="A11" i="3"/>
  <c r="B11" i="3" s="1"/>
  <c r="A22" i="3"/>
  <c r="A27" i="3"/>
  <c r="B27" i="3" s="1"/>
  <c r="A42" i="3"/>
  <c r="B62" i="3"/>
  <c r="A78" i="3"/>
  <c r="A33" i="3"/>
  <c r="A82" i="3"/>
  <c r="B46" i="3"/>
  <c r="A75" i="3"/>
  <c r="A74" i="3"/>
  <c r="A21" i="3"/>
  <c r="A23" i="3"/>
  <c r="A55" i="3"/>
  <c r="B67" i="3"/>
  <c r="A24" i="3"/>
  <c r="B24" i="3" s="1"/>
  <c r="A4" i="3"/>
  <c r="A76" i="3"/>
  <c r="A16" i="3"/>
  <c r="V49" i="3" l="1"/>
  <c r="N49" i="3"/>
  <c r="F49" i="3"/>
  <c r="U49" i="3"/>
  <c r="M49" i="3"/>
  <c r="E49" i="3"/>
  <c r="T49" i="3"/>
  <c r="L49" i="3"/>
  <c r="D49" i="3"/>
  <c r="S49" i="3"/>
  <c r="K49" i="3"/>
  <c r="C49" i="3"/>
  <c r="R49" i="3"/>
  <c r="J49" i="3"/>
  <c r="Q49" i="3"/>
  <c r="I49" i="3"/>
  <c r="P49" i="3"/>
  <c r="H49" i="3"/>
  <c r="G49" i="3"/>
  <c r="O49" i="3"/>
  <c r="S40" i="3"/>
  <c r="K40" i="3"/>
  <c r="C40" i="3"/>
  <c r="Q40" i="3"/>
  <c r="I40" i="3"/>
  <c r="P40" i="3"/>
  <c r="H40" i="3"/>
  <c r="V40" i="3"/>
  <c r="J40" i="3"/>
  <c r="U40" i="3"/>
  <c r="G40" i="3"/>
  <c r="T40" i="3"/>
  <c r="F40" i="3"/>
  <c r="R40" i="3"/>
  <c r="E40" i="3"/>
  <c r="O40" i="3"/>
  <c r="D40" i="3"/>
  <c r="N40" i="3"/>
  <c r="L40" i="3"/>
  <c r="M40" i="3"/>
  <c r="R24" i="3"/>
  <c r="J24" i="3"/>
  <c r="Q24" i="3"/>
  <c r="I24" i="3"/>
  <c r="P24" i="3"/>
  <c r="H24" i="3"/>
  <c r="O24" i="3"/>
  <c r="G24" i="3"/>
  <c r="V24" i="3"/>
  <c r="N24" i="3"/>
  <c r="F24" i="3"/>
  <c r="S24" i="3"/>
  <c r="K24" i="3"/>
  <c r="C24" i="3"/>
  <c r="T24" i="3"/>
  <c r="M24" i="3"/>
  <c r="L24" i="3"/>
  <c r="E24" i="3"/>
  <c r="D24" i="3"/>
  <c r="U24" i="3"/>
  <c r="U11" i="3"/>
  <c r="M11" i="3"/>
  <c r="E11" i="3"/>
  <c r="S11" i="3"/>
  <c r="K11" i="3"/>
  <c r="C11" i="3"/>
  <c r="R11" i="3"/>
  <c r="J11" i="3"/>
  <c r="Q11" i="3"/>
  <c r="I11" i="3"/>
  <c r="V11" i="3"/>
  <c r="N11" i="3"/>
  <c r="F11" i="3"/>
  <c r="P11" i="3"/>
  <c r="O11" i="3"/>
  <c r="L11" i="3"/>
  <c r="H11" i="3"/>
  <c r="G11" i="3"/>
  <c r="T11" i="3"/>
  <c r="D11" i="3"/>
  <c r="P27" i="3"/>
  <c r="H27" i="3"/>
  <c r="O27" i="3"/>
  <c r="G27" i="3"/>
  <c r="V27" i="3"/>
  <c r="N27" i="3"/>
  <c r="F27" i="3"/>
  <c r="U27" i="3"/>
  <c r="M27" i="3"/>
  <c r="E27" i="3"/>
  <c r="T27" i="3"/>
  <c r="L27" i="3"/>
  <c r="D27" i="3"/>
  <c r="Q27" i="3"/>
  <c r="I27" i="3"/>
  <c r="R27" i="3"/>
  <c r="J27" i="3"/>
  <c r="K27" i="3"/>
  <c r="C27" i="3"/>
  <c r="S27" i="3"/>
  <c r="V57" i="3"/>
  <c r="N57" i="3"/>
  <c r="F57" i="3"/>
  <c r="U57" i="3"/>
  <c r="M57" i="3"/>
  <c r="E57" i="3"/>
  <c r="T57" i="3"/>
  <c r="L57" i="3"/>
  <c r="D57" i="3"/>
  <c r="S57" i="3"/>
  <c r="K57" i="3"/>
  <c r="C57" i="3"/>
  <c r="R57" i="3"/>
  <c r="J57" i="3"/>
  <c r="Q57" i="3"/>
  <c r="I57" i="3"/>
  <c r="P57" i="3"/>
  <c r="H57" i="3"/>
  <c r="O57" i="3"/>
  <c r="G57" i="3"/>
  <c r="U46" i="3"/>
  <c r="M46" i="3"/>
  <c r="E46" i="3"/>
  <c r="T46" i="3"/>
  <c r="L46" i="3"/>
  <c r="D46" i="3"/>
  <c r="S46" i="3"/>
  <c r="K46" i="3"/>
  <c r="C46" i="3"/>
  <c r="R46" i="3"/>
  <c r="J46" i="3"/>
  <c r="Q46" i="3"/>
  <c r="I46" i="3"/>
  <c r="P46" i="3"/>
  <c r="H46" i="3"/>
  <c r="O46" i="3"/>
  <c r="G46" i="3"/>
  <c r="V46" i="3"/>
  <c r="F46" i="3"/>
  <c r="N46" i="3"/>
  <c r="U15" i="3"/>
  <c r="M15" i="3"/>
  <c r="E15" i="3"/>
  <c r="S15" i="3"/>
  <c r="K15" i="3"/>
  <c r="C15" i="3"/>
  <c r="R15" i="3"/>
  <c r="J15" i="3"/>
  <c r="Q15" i="3"/>
  <c r="I15" i="3"/>
  <c r="V15" i="3"/>
  <c r="N15" i="3"/>
  <c r="F15" i="3"/>
  <c r="O15" i="3"/>
  <c r="L15" i="3"/>
  <c r="H15" i="3"/>
  <c r="G15" i="3"/>
  <c r="D15" i="3"/>
  <c r="P15" i="3"/>
  <c r="T15" i="3"/>
  <c r="S48" i="3"/>
  <c r="K48" i="3"/>
  <c r="C48" i="3"/>
  <c r="R48" i="3"/>
  <c r="J48" i="3"/>
  <c r="Q48" i="3"/>
  <c r="I48" i="3"/>
  <c r="P48" i="3"/>
  <c r="H48" i="3"/>
  <c r="O48" i="3"/>
  <c r="G48" i="3"/>
  <c r="V48" i="3"/>
  <c r="N48" i="3"/>
  <c r="F48" i="3"/>
  <c r="U48" i="3"/>
  <c r="M48" i="3"/>
  <c r="E48" i="3"/>
  <c r="T48" i="3"/>
  <c r="L48" i="3"/>
  <c r="D48" i="3"/>
  <c r="R53" i="3"/>
  <c r="J53" i="3"/>
  <c r="Q53" i="3"/>
  <c r="I53" i="3"/>
  <c r="P53" i="3"/>
  <c r="H53" i="3"/>
  <c r="O53" i="3"/>
  <c r="G53" i="3"/>
  <c r="V53" i="3"/>
  <c r="N53" i="3"/>
  <c r="F53" i="3"/>
  <c r="U53" i="3"/>
  <c r="M53" i="3"/>
  <c r="E53" i="3"/>
  <c r="T53" i="3"/>
  <c r="L53" i="3"/>
  <c r="D53" i="3"/>
  <c r="C53" i="3"/>
  <c r="S53" i="3"/>
  <c r="K53" i="3"/>
  <c r="Q58" i="3"/>
  <c r="I58" i="3"/>
  <c r="P58" i="3"/>
  <c r="H58" i="3"/>
  <c r="O58" i="3"/>
  <c r="G58" i="3"/>
  <c r="V58" i="3"/>
  <c r="N58" i="3"/>
  <c r="F58" i="3"/>
  <c r="U58" i="3"/>
  <c r="M58" i="3"/>
  <c r="E58" i="3"/>
  <c r="T58" i="3"/>
  <c r="L58" i="3"/>
  <c r="D58" i="3"/>
  <c r="S58" i="3"/>
  <c r="K58" i="3"/>
  <c r="C58" i="3"/>
  <c r="J58" i="3"/>
  <c r="R58" i="3"/>
  <c r="P60" i="3"/>
  <c r="H60" i="3"/>
  <c r="Q60" i="3"/>
  <c r="I60" i="3"/>
  <c r="O60" i="3"/>
  <c r="E60" i="3"/>
  <c r="N60" i="3"/>
  <c r="D60" i="3"/>
  <c r="M60" i="3"/>
  <c r="C60" i="3"/>
  <c r="V60" i="3"/>
  <c r="L60" i="3"/>
  <c r="U60" i="3"/>
  <c r="K60" i="3"/>
  <c r="T60" i="3"/>
  <c r="J60" i="3"/>
  <c r="S60" i="3"/>
  <c r="G60" i="3"/>
  <c r="R60" i="3"/>
  <c r="F60" i="3"/>
  <c r="T69" i="3"/>
  <c r="L69" i="3"/>
  <c r="D69" i="3"/>
  <c r="S69" i="3"/>
  <c r="K69" i="3"/>
  <c r="C69" i="3"/>
  <c r="R69" i="3"/>
  <c r="J69" i="3"/>
  <c r="Q69" i="3"/>
  <c r="I69" i="3"/>
  <c r="P69" i="3"/>
  <c r="H69" i="3"/>
  <c r="U69" i="3"/>
  <c r="M69" i="3"/>
  <c r="E69" i="3"/>
  <c r="V69" i="3"/>
  <c r="O69" i="3"/>
  <c r="N69" i="3"/>
  <c r="G69" i="3"/>
  <c r="F69" i="3"/>
  <c r="V62" i="3"/>
  <c r="N62" i="3"/>
  <c r="F62" i="3"/>
  <c r="O62" i="3"/>
  <c r="G62" i="3"/>
  <c r="Q62" i="3"/>
  <c r="E62" i="3"/>
  <c r="P62" i="3"/>
  <c r="D62" i="3"/>
  <c r="M62" i="3"/>
  <c r="C62" i="3"/>
  <c r="L62" i="3"/>
  <c r="U62" i="3"/>
  <c r="K62" i="3"/>
  <c r="T62" i="3"/>
  <c r="J62" i="3"/>
  <c r="S62" i="3"/>
  <c r="I62" i="3"/>
  <c r="H62" i="3"/>
  <c r="R62" i="3"/>
  <c r="P80" i="3"/>
  <c r="H80" i="3"/>
  <c r="V80" i="3"/>
  <c r="N80" i="3"/>
  <c r="F80" i="3"/>
  <c r="S80" i="3"/>
  <c r="K80" i="3"/>
  <c r="C80" i="3"/>
  <c r="Q80" i="3"/>
  <c r="D80" i="3"/>
  <c r="O80" i="3"/>
  <c r="M80" i="3"/>
  <c r="L80" i="3"/>
  <c r="J80" i="3"/>
  <c r="R80" i="3"/>
  <c r="E80" i="3"/>
  <c r="U80" i="3"/>
  <c r="T80" i="3"/>
  <c r="I80" i="3"/>
  <c r="G80" i="3"/>
  <c r="R68" i="3"/>
  <c r="J68" i="3"/>
  <c r="Q68" i="3"/>
  <c r="I68" i="3"/>
  <c r="P68" i="3"/>
  <c r="H68" i="3"/>
  <c r="O68" i="3"/>
  <c r="G68" i="3"/>
  <c r="V68" i="3"/>
  <c r="N68" i="3"/>
  <c r="F68" i="3"/>
  <c r="S68" i="3"/>
  <c r="K68" i="3"/>
  <c r="C68" i="3"/>
  <c r="M68" i="3"/>
  <c r="L68" i="3"/>
  <c r="E68" i="3"/>
  <c r="D68" i="3"/>
  <c r="U68" i="3"/>
  <c r="T68" i="3"/>
  <c r="R73" i="3"/>
  <c r="J73" i="3"/>
  <c r="U73" i="3"/>
  <c r="M73" i="3"/>
  <c r="E73" i="3"/>
  <c r="P73" i="3"/>
  <c r="F73" i="3"/>
  <c r="O73" i="3"/>
  <c r="D73" i="3"/>
  <c r="N73" i="3"/>
  <c r="C73" i="3"/>
  <c r="L73" i="3"/>
  <c r="V73" i="3"/>
  <c r="K73" i="3"/>
  <c r="Q73" i="3"/>
  <c r="G73" i="3"/>
  <c r="T73" i="3"/>
  <c r="S73" i="3"/>
  <c r="I73" i="3"/>
  <c r="H73" i="3"/>
  <c r="C84" i="3"/>
  <c r="P67" i="3"/>
  <c r="H67" i="3"/>
  <c r="O67" i="3"/>
  <c r="G67" i="3"/>
  <c r="V67" i="3"/>
  <c r="N67" i="3"/>
  <c r="F67" i="3"/>
  <c r="U67" i="3"/>
  <c r="M67" i="3"/>
  <c r="E67" i="3"/>
  <c r="T67" i="3"/>
  <c r="L67" i="3"/>
  <c r="D67" i="3"/>
  <c r="Q67" i="3"/>
  <c r="I67" i="3"/>
  <c r="C67" i="3"/>
  <c r="S67" i="3"/>
  <c r="R67" i="3"/>
  <c r="K67" i="3"/>
  <c r="J67" i="3"/>
  <c r="P71" i="3"/>
  <c r="H71" i="3"/>
  <c r="O71" i="3"/>
  <c r="G71" i="3"/>
  <c r="V71" i="3"/>
  <c r="N71" i="3"/>
  <c r="F71" i="3"/>
  <c r="U71" i="3"/>
  <c r="M71" i="3"/>
  <c r="E71" i="3"/>
  <c r="T71" i="3"/>
  <c r="L71" i="3"/>
  <c r="D71" i="3"/>
  <c r="Q71" i="3"/>
  <c r="I71" i="3"/>
  <c r="K71" i="3"/>
  <c r="J71" i="3"/>
  <c r="C71" i="3"/>
  <c r="S71" i="3"/>
  <c r="R71" i="3"/>
  <c r="C85" i="3"/>
  <c r="B75" i="3"/>
  <c r="B65" i="3"/>
  <c r="B45" i="3"/>
  <c r="B79" i="3"/>
  <c r="B77" i="3"/>
  <c r="B26" i="3"/>
  <c r="B38" i="3"/>
  <c r="B33" i="3"/>
  <c r="B51" i="3"/>
  <c r="B25" i="3"/>
  <c r="B70" i="3"/>
  <c r="B23" i="3"/>
  <c r="B34" i="3"/>
  <c r="B81" i="3"/>
  <c r="B37" i="3"/>
  <c r="B56" i="3"/>
  <c r="B42" i="3"/>
  <c r="B9" i="3"/>
  <c r="B78" i="3"/>
  <c r="B14" i="3"/>
  <c r="B21" i="3"/>
  <c r="B35" i="3"/>
  <c r="B63" i="3"/>
  <c r="B18" i="3"/>
  <c r="B22" i="3"/>
  <c r="B13" i="3"/>
  <c r="B66" i="3"/>
  <c r="B76" i="3"/>
  <c r="B83" i="3"/>
  <c r="B52" i="3"/>
  <c r="B32" i="3"/>
  <c r="B64" i="3"/>
  <c r="B36" i="3"/>
  <c r="B31" i="3"/>
  <c r="B7" i="3"/>
  <c r="B59" i="3"/>
  <c r="B28" i="3"/>
  <c r="B39" i="3"/>
  <c r="B43" i="3"/>
  <c r="B4" i="3"/>
  <c r="B54" i="3"/>
  <c r="B29" i="3"/>
  <c r="B44" i="3"/>
  <c r="B19" i="3"/>
  <c r="B72" i="3"/>
  <c r="B5" i="3"/>
  <c r="B47" i="3"/>
  <c r="B61" i="3"/>
  <c r="B6" i="3"/>
  <c r="B10" i="3"/>
  <c r="B74" i="3"/>
  <c r="B12" i="3"/>
  <c r="B16" i="3"/>
  <c r="B55" i="3"/>
  <c r="B20" i="3"/>
  <c r="B17" i="3"/>
  <c r="B41" i="3"/>
  <c r="B82" i="3"/>
  <c r="B30" i="3"/>
  <c r="B8" i="3"/>
  <c r="B50" i="3"/>
  <c r="S61" i="3" l="1"/>
  <c r="O61" i="3"/>
  <c r="R61" i="3"/>
  <c r="K61" i="3"/>
  <c r="E61" i="3"/>
  <c r="H61" i="3"/>
  <c r="U61" i="3"/>
  <c r="C61" i="3"/>
  <c r="N61" i="3"/>
  <c r="Q61" i="3"/>
  <c r="L61" i="3"/>
  <c r="V61" i="3"/>
  <c r="D61" i="3"/>
  <c r="J61" i="3"/>
  <c r="F61" i="3"/>
  <c r="I61" i="3"/>
  <c r="T61" i="3"/>
  <c r="M61" i="3"/>
  <c r="G61" i="3"/>
  <c r="P61" i="3"/>
  <c r="O44" i="3"/>
  <c r="T44" i="3"/>
  <c r="Q44" i="3"/>
  <c r="S44" i="3"/>
  <c r="R44" i="3"/>
  <c r="G44" i="3"/>
  <c r="L44" i="3"/>
  <c r="I44" i="3"/>
  <c r="N44" i="3"/>
  <c r="V44" i="3"/>
  <c r="D44" i="3"/>
  <c r="P44" i="3"/>
  <c r="H44" i="3"/>
  <c r="M44" i="3"/>
  <c r="F44" i="3"/>
  <c r="K44" i="3"/>
  <c r="U44" i="3"/>
  <c r="C44" i="3"/>
  <c r="E44" i="3"/>
  <c r="J44" i="3"/>
  <c r="K29" i="3"/>
  <c r="U29" i="3"/>
  <c r="C29" i="3"/>
  <c r="M29" i="3"/>
  <c r="R29" i="3"/>
  <c r="E29" i="3"/>
  <c r="J29" i="3"/>
  <c r="F29" i="3"/>
  <c r="T29" i="3"/>
  <c r="Q29" i="3"/>
  <c r="O29" i="3"/>
  <c r="L29" i="3"/>
  <c r="I29" i="3"/>
  <c r="V29" i="3"/>
  <c r="D29" i="3"/>
  <c r="P29" i="3"/>
  <c r="N29" i="3"/>
  <c r="S29" i="3"/>
  <c r="H29" i="3"/>
  <c r="G29" i="3"/>
  <c r="P64" i="3"/>
  <c r="K64" i="3"/>
  <c r="F64" i="3"/>
  <c r="H64" i="3"/>
  <c r="C64" i="3"/>
  <c r="G64" i="3"/>
  <c r="D64" i="3"/>
  <c r="O64" i="3"/>
  <c r="E64" i="3"/>
  <c r="M64" i="3"/>
  <c r="R64" i="3"/>
  <c r="V64" i="3"/>
  <c r="U64" i="3"/>
  <c r="J64" i="3"/>
  <c r="N64" i="3"/>
  <c r="T64" i="3"/>
  <c r="I64" i="3"/>
  <c r="S64" i="3"/>
  <c r="L64" i="3"/>
  <c r="Q64" i="3"/>
  <c r="R32" i="3"/>
  <c r="V32" i="3"/>
  <c r="U32" i="3"/>
  <c r="J32" i="3"/>
  <c r="N32" i="3"/>
  <c r="T32" i="3"/>
  <c r="Q32" i="3"/>
  <c r="F32" i="3"/>
  <c r="L32" i="3"/>
  <c r="I32" i="3"/>
  <c r="S32" i="3"/>
  <c r="E32" i="3"/>
  <c r="P32" i="3"/>
  <c r="K32" i="3"/>
  <c r="O32" i="3"/>
  <c r="D32" i="3"/>
  <c r="H32" i="3"/>
  <c r="C32" i="3"/>
  <c r="G32" i="3"/>
  <c r="M32" i="3"/>
  <c r="F52" i="3"/>
  <c r="K52" i="3"/>
  <c r="H52" i="3"/>
  <c r="U52" i="3"/>
  <c r="C52" i="3"/>
  <c r="E52" i="3"/>
  <c r="J52" i="3"/>
  <c r="V52" i="3"/>
  <c r="M52" i="3"/>
  <c r="R52" i="3"/>
  <c r="O52" i="3"/>
  <c r="T52" i="3"/>
  <c r="Q52" i="3"/>
  <c r="G52" i="3"/>
  <c r="L52" i="3"/>
  <c r="I52" i="3"/>
  <c r="N52" i="3"/>
  <c r="S52" i="3"/>
  <c r="P52" i="3"/>
  <c r="D52" i="3"/>
  <c r="C18" i="3"/>
  <c r="L18" i="3"/>
  <c r="U18" i="3"/>
  <c r="S18" i="3"/>
  <c r="V18" i="3"/>
  <c r="Q18" i="3"/>
  <c r="D18" i="3"/>
  <c r="R18" i="3"/>
  <c r="I18" i="3"/>
  <c r="M18" i="3"/>
  <c r="J18" i="3"/>
  <c r="H18" i="3"/>
  <c r="F18" i="3"/>
  <c r="O18" i="3"/>
  <c r="E18" i="3"/>
  <c r="K18" i="3"/>
  <c r="T18" i="3"/>
  <c r="N18" i="3"/>
  <c r="P18" i="3"/>
  <c r="G18" i="3"/>
  <c r="P63" i="3"/>
  <c r="V63" i="3"/>
  <c r="R63" i="3"/>
  <c r="G63" i="3"/>
  <c r="F63" i="3"/>
  <c r="L63" i="3"/>
  <c r="M63" i="3"/>
  <c r="O63" i="3"/>
  <c r="U63" i="3"/>
  <c r="Q63" i="3"/>
  <c r="N63" i="3"/>
  <c r="T63" i="3"/>
  <c r="I63" i="3"/>
  <c r="D63" i="3"/>
  <c r="H63" i="3"/>
  <c r="J63" i="3"/>
  <c r="C63" i="3"/>
  <c r="S63" i="3"/>
  <c r="E63" i="3"/>
  <c r="K63" i="3"/>
  <c r="K51" i="3"/>
  <c r="O51" i="3"/>
  <c r="C51" i="3"/>
  <c r="G51" i="3"/>
  <c r="J51" i="3"/>
  <c r="N51" i="3"/>
  <c r="R51" i="3"/>
  <c r="V51" i="3"/>
  <c r="T51" i="3"/>
  <c r="Q51" i="3"/>
  <c r="F51" i="3"/>
  <c r="L51" i="3"/>
  <c r="I51" i="3"/>
  <c r="U51" i="3"/>
  <c r="D51" i="3"/>
  <c r="P51" i="3"/>
  <c r="M51" i="3"/>
  <c r="S51" i="3"/>
  <c r="H51" i="3"/>
  <c r="E51" i="3"/>
  <c r="T33" i="3"/>
  <c r="Q33" i="3"/>
  <c r="F33" i="3"/>
  <c r="L33" i="3"/>
  <c r="I33" i="3"/>
  <c r="G33" i="3"/>
  <c r="D33" i="3"/>
  <c r="P33" i="3"/>
  <c r="V33" i="3"/>
  <c r="S33" i="3"/>
  <c r="H33" i="3"/>
  <c r="O33" i="3"/>
  <c r="K33" i="3"/>
  <c r="U33" i="3"/>
  <c r="C33" i="3"/>
  <c r="M33" i="3"/>
  <c r="R33" i="3"/>
  <c r="E33" i="3"/>
  <c r="J33" i="3"/>
  <c r="N33" i="3"/>
  <c r="K65" i="3"/>
  <c r="U65" i="3"/>
  <c r="C65" i="3"/>
  <c r="M65" i="3"/>
  <c r="R65" i="3"/>
  <c r="E65" i="3"/>
  <c r="T65" i="3"/>
  <c r="Q65" i="3"/>
  <c r="N65" i="3"/>
  <c r="L65" i="3"/>
  <c r="I65" i="3"/>
  <c r="G65" i="3"/>
  <c r="D65" i="3"/>
  <c r="P65" i="3"/>
  <c r="F65" i="3"/>
  <c r="S65" i="3"/>
  <c r="H65" i="3"/>
  <c r="V65" i="3"/>
  <c r="J65" i="3"/>
  <c r="O65" i="3"/>
  <c r="M75" i="3"/>
  <c r="E75" i="3"/>
  <c r="U75" i="3"/>
  <c r="V75" i="3"/>
  <c r="C75" i="3"/>
  <c r="S75" i="3"/>
  <c r="N75" i="3"/>
  <c r="L75" i="3"/>
  <c r="R75" i="3"/>
  <c r="F75" i="3"/>
  <c r="J75" i="3"/>
  <c r="Q75" i="3"/>
  <c r="K75" i="3"/>
  <c r="G75" i="3"/>
  <c r="I75" i="3"/>
  <c r="T75" i="3"/>
  <c r="D75" i="3"/>
  <c r="P75" i="3"/>
  <c r="H75" i="3"/>
  <c r="O75" i="3"/>
  <c r="C37" i="3"/>
  <c r="M37" i="3"/>
  <c r="R37" i="3"/>
  <c r="E37" i="3"/>
  <c r="J37" i="3"/>
  <c r="V37" i="3"/>
  <c r="T37" i="3"/>
  <c r="Q37" i="3"/>
  <c r="N37" i="3"/>
  <c r="L37" i="3"/>
  <c r="I37" i="3"/>
  <c r="O37" i="3"/>
  <c r="D37" i="3"/>
  <c r="P37" i="3"/>
  <c r="G37" i="3"/>
  <c r="S37" i="3"/>
  <c r="H37" i="3"/>
  <c r="F37" i="3"/>
  <c r="K37" i="3"/>
  <c r="U37" i="3"/>
  <c r="C41" i="3"/>
  <c r="H41" i="3"/>
  <c r="R41" i="3"/>
  <c r="Q41" i="3"/>
  <c r="J41" i="3"/>
  <c r="T41" i="3"/>
  <c r="U41" i="3"/>
  <c r="N41" i="3"/>
  <c r="G41" i="3"/>
  <c r="M41" i="3"/>
  <c r="F41" i="3"/>
  <c r="O41" i="3"/>
  <c r="E41" i="3"/>
  <c r="L41" i="3"/>
  <c r="P41" i="3"/>
  <c r="S41" i="3"/>
  <c r="I41" i="3"/>
  <c r="D41" i="3"/>
  <c r="K41" i="3"/>
  <c r="V41" i="3"/>
  <c r="H55" i="3"/>
  <c r="E55" i="3"/>
  <c r="J55" i="3"/>
  <c r="O55" i="3"/>
  <c r="T55" i="3"/>
  <c r="I55" i="3"/>
  <c r="G55" i="3"/>
  <c r="L55" i="3"/>
  <c r="Q55" i="3"/>
  <c r="V55" i="3"/>
  <c r="D55" i="3"/>
  <c r="N55" i="3"/>
  <c r="S55" i="3"/>
  <c r="F55" i="3"/>
  <c r="K55" i="3"/>
  <c r="U55" i="3"/>
  <c r="C55" i="3"/>
  <c r="P55" i="3"/>
  <c r="M55" i="3"/>
  <c r="R55" i="3"/>
  <c r="O14" i="3"/>
  <c r="F14" i="3"/>
  <c r="S14" i="3"/>
  <c r="G14" i="3"/>
  <c r="E14" i="3"/>
  <c r="K14" i="3"/>
  <c r="T14" i="3"/>
  <c r="R14" i="3"/>
  <c r="L14" i="3"/>
  <c r="C14" i="3"/>
  <c r="V14" i="3"/>
  <c r="Q14" i="3"/>
  <c r="D14" i="3"/>
  <c r="U14" i="3"/>
  <c r="I14" i="3"/>
  <c r="N14" i="3"/>
  <c r="P14" i="3"/>
  <c r="M14" i="3"/>
  <c r="H14" i="3"/>
  <c r="J14" i="3"/>
  <c r="M81" i="3"/>
  <c r="O81" i="3"/>
  <c r="E81" i="3"/>
  <c r="C81" i="3"/>
  <c r="T81" i="3"/>
  <c r="N81" i="3"/>
  <c r="R81" i="3"/>
  <c r="G81" i="3"/>
  <c r="V81" i="3"/>
  <c r="J81" i="3"/>
  <c r="S81" i="3"/>
  <c r="I81" i="3"/>
  <c r="P81" i="3"/>
  <c r="F81" i="3"/>
  <c r="L81" i="3"/>
  <c r="H81" i="3"/>
  <c r="Q81" i="3"/>
  <c r="K81" i="3"/>
  <c r="U81" i="3"/>
  <c r="D81" i="3"/>
  <c r="M77" i="3"/>
  <c r="N77" i="3"/>
  <c r="E77" i="3"/>
  <c r="L77" i="3"/>
  <c r="S77" i="3"/>
  <c r="T77" i="3"/>
  <c r="R77" i="3"/>
  <c r="F77" i="3"/>
  <c r="G77" i="3"/>
  <c r="J77" i="3"/>
  <c r="Q77" i="3"/>
  <c r="V77" i="3"/>
  <c r="P77" i="3"/>
  <c r="D77" i="3"/>
  <c r="K77" i="3"/>
  <c r="H77" i="3"/>
  <c r="O77" i="3"/>
  <c r="I77" i="3"/>
  <c r="U77" i="3"/>
  <c r="C77" i="3"/>
  <c r="D54" i="3"/>
  <c r="P54" i="3"/>
  <c r="S54" i="3"/>
  <c r="H54" i="3"/>
  <c r="K54" i="3"/>
  <c r="O54" i="3"/>
  <c r="U54" i="3"/>
  <c r="C54" i="3"/>
  <c r="G54" i="3"/>
  <c r="M54" i="3"/>
  <c r="R54" i="3"/>
  <c r="V54" i="3"/>
  <c r="E54" i="3"/>
  <c r="J54" i="3"/>
  <c r="N54" i="3"/>
  <c r="T54" i="3"/>
  <c r="Q54" i="3"/>
  <c r="F54" i="3"/>
  <c r="L54" i="3"/>
  <c r="I54" i="3"/>
  <c r="H28" i="3"/>
  <c r="C28" i="3"/>
  <c r="O28" i="3"/>
  <c r="T28" i="3"/>
  <c r="G28" i="3"/>
  <c r="E28" i="3"/>
  <c r="R28" i="3"/>
  <c r="V28" i="3"/>
  <c r="U28" i="3"/>
  <c r="J28" i="3"/>
  <c r="N28" i="3"/>
  <c r="M28" i="3"/>
  <c r="Q28" i="3"/>
  <c r="F28" i="3"/>
  <c r="L28" i="3"/>
  <c r="I28" i="3"/>
  <c r="S28" i="3"/>
  <c r="D28" i="3"/>
  <c r="P28" i="3"/>
  <c r="K28" i="3"/>
  <c r="N35" i="3"/>
  <c r="Q35" i="3"/>
  <c r="F35" i="3"/>
  <c r="I35" i="3"/>
  <c r="U35" i="3"/>
  <c r="K35" i="3"/>
  <c r="P35" i="3"/>
  <c r="M35" i="3"/>
  <c r="S35" i="3"/>
  <c r="H35" i="3"/>
  <c r="E35" i="3"/>
  <c r="R35" i="3"/>
  <c r="O35" i="3"/>
  <c r="T35" i="3"/>
  <c r="J35" i="3"/>
  <c r="G35" i="3"/>
  <c r="L35" i="3"/>
  <c r="C35" i="3"/>
  <c r="V35" i="3"/>
  <c r="D35" i="3"/>
  <c r="I50" i="3"/>
  <c r="U50" i="3"/>
  <c r="C50" i="3"/>
  <c r="P50" i="3"/>
  <c r="M50" i="3"/>
  <c r="R50" i="3"/>
  <c r="H50" i="3"/>
  <c r="E50" i="3"/>
  <c r="J50" i="3"/>
  <c r="O50" i="3"/>
  <c r="T50" i="3"/>
  <c r="G50" i="3"/>
  <c r="L50" i="3"/>
  <c r="V50" i="3"/>
  <c r="D50" i="3"/>
  <c r="N50" i="3"/>
  <c r="S50" i="3"/>
  <c r="Q50" i="3"/>
  <c r="F50" i="3"/>
  <c r="K50" i="3"/>
  <c r="J72" i="3"/>
  <c r="N72" i="3"/>
  <c r="L72" i="3"/>
  <c r="Q72" i="3"/>
  <c r="F72" i="3"/>
  <c r="E72" i="3"/>
  <c r="I72" i="3"/>
  <c r="S72" i="3"/>
  <c r="D72" i="3"/>
  <c r="P72" i="3"/>
  <c r="K72" i="3"/>
  <c r="H72" i="3"/>
  <c r="C72" i="3"/>
  <c r="O72" i="3"/>
  <c r="U72" i="3"/>
  <c r="G72" i="3"/>
  <c r="T72" i="3"/>
  <c r="R72" i="3"/>
  <c r="V72" i="3"/>
  <c r="M72" i="3"/>
  <c r="M59" i="3"/>
  <c r="C59" i="3"/>
  <c r="H59" i="3"/>
  <c r="E59" i="3"/>
  <c r="L59" i="3"/>
  <c r="G59" i="3"/>
  <c r="V59" i="3"/>
  <c r="K59" i="3"/>
  <c r="Q59" i="3"/>
  <c r="N59" i="3"/>
  <c r="T59" i="3"/>
  <c r="F59" i="3"/>
  <c r="J59" i="3"/>
  <c r="P59" i="3"/>
  <c r="S59" i="3"/>
  <c r="D59" i="3"/>
  <c r="I59" i="3"/>
  <c r="U59" i="3"/>
  <c r="O59" i="3"/>
  <c r="R59" i="3"/>
  <c r="S22" i="3"/>
  <c r="G22" i="3"/>
  <c r="U22" i="3"/>
  <c r="K22" i="3"/>
  <c r="V22" i="3"/>
  <c r="J22" i="3"/>
  <c r="C22" i="3"/>
  <c r="R22" i="3"/>
  <c r="D22" i="3"/>
  <c r="O22" i="3"/>
  <c r="N22" i="3"/>
  <c r="Q22" i="3"/>
  <c r="F22" i="3"/>
  <c r="M22" i="3"/>
  <c r="I22" i="3"/>
  <c r="T22" i="3"/>
  <c r="P22" i="3"/>
  <c r="L22" i="3"/>
  <c r="H22" i="3"/>
  <c r="E22" i="3"/>
  <c r="C23" i="3"/>
  <c r="N23" i="3"/>
  <c r="R23" i="3"/>
  <c r="F23" i="3"/>
  <c r="J23" i="3"/>
  <c r="O23" i="3"/>
  <c r="U23" i="3"/>
  <c r="Q23" i="3"/>
  <c r="L23" i="3"/>
  <c r="M23" i="3"/>
  <c r="I23" i="3"/>
  <c r="G23" i="3"/>
  <c r="E23" i="3"/>
  <c r="P23" i="3"/>
  <c r="D23" i="3"/>
  <c r="S23" i="3"/>
  <c r="H23" i="3"/>
  <c r="T23" i="3"/>
  <c r="K23" i="3"/>
  <c r="V23" i="3"/>
  <c r="V79" i="3"/>
  <c r="M79" i="3"/>
  <c r="E79" i="3"/>
  <c r="N79" i="3"/>
  <c r="K79" i="3"/>
  <c r="C79" i="3"/>
  <c r="F79" i="3"/>
  <c r="J79" i="3"/>
  <c r="R79" i="3"/>
  <c r="T79" i="3"/>
  <c r="U79" i="3"/>
  <c r="P79" i="3"/>
  <c r="L79" i="3"/>
  <c r="H79" i="3"/>
  <c r="D79" i="3"/>
  <c r="S79" i="3"/>
  <c r="Q79" i="3"/>
  <c r="G79" i="3"/>
  <c r="I79" i="3"/>
  <c r="O79" i="3"/>
  <c r="Q10" i="3"/>
  <c r="D10" i="3"/>
  <c r="E10" i="3"/>
  <c r="I10" i="3"/>
  <c r="R10" i="3"/>
  <c r="P10" i="3"/>
  <c r="N10" i="3"/>
  <c r="M10" i="3"/>
  <c r="H10" i="3"/>
  <c r="O10" i="3"/>
  <c r="J10" i="3"/>
  <c r="S10" i="3"/>
  <c r="G10" i="3"/>
  <c r="F10" i="3"/>
  <c r="K10" i="3"/>
  <c r="T10" i="3"/>
  <c r="U10" i="3"/>
  <c r="C10" i="3"/>
  <c r="L10" i="3"/>
  <c r="V10" i="3"/>
  <c r="N47" i="3"/>
  <c r="S47" i="3"/>
  <c r="F47" i="3"/>
  <c r="K47" i="3"/>
  <c r="U47" i="3"/>
  <c r="C47" i="3"/>
  <c r="P47" i="3"/>
  <c r="M47" i="3"/>
  <c r="R47" i="3"/>
  <c r="H47" i="3"/>
  <c r="E47" i="3"/>
  <c r="J47" i="3"/>
  <c r="O47" i="3"/>
  <c r="T47" i="3"/>
  <c r="Q47" i="3"/>
  <c r="G47" i="3"/>
  <c r="L47" i="3"/>
  <c r="I47" i="3"/>
  <c r="V47" i="3"/>
  <c r="D47" i="3"/>
  <c r="C19" i="3"/>
  <c r="L19" i="3"/>
  <c r="R19" i="3"/>
  <c r="H19" i="3"/>
  <c r="J19" i="3"/>
  <c r="G19" i="3"/>
  <c r="U19" i="3"/>
  <c r="Q19" i="3"/>
  <c r="D19" i="3"/>
  <c r="M19" i="3"/>
  <c r="I19" i="3"/>
  <c r="O19" i="3"/>
  <c r="E19" i="3"/>
  <c r="V19" i="3"/>
  <c r="T19" i="3"/>
  <c r="S19" i="3"/>
  <c r="N19" i="3"/>
  <c r="P19" i="3"/>
  <c r="K19" i="3"/>
  <c r="F19" i="3"/>
  <c r="H31" i="3"/>
  <c r="E31" i="3"/>
  <c r="S31" i="3"/>
  <c r="O31" i="3"/>
  <c r="T31" i="3"/>
  <c r="K31" i="3"/>
  <c r="G31" i="3"/>
  <c r="L31" i="3"/>
  <c r="J31" i="3"/>
  <c r="V31" i="3"/>
  <c r="D31" i="3"/>
  <c r="N31" i="3"/>
  <c r="Q31" i="3"/>
  <c r="F31" i="3"/>
  <c r="I31" i="3"/>
  <c r="U31" i="3"/>
  <c r="R31" i="3"/>
  <c r="P31" i="3"/>
  <c r="M31" i="3"/>
  <c r="C31" i="3"/>
  <c r="L25" i="3"/>
  <c r="I25" i="3"/>
  <c r="O25" i="3"/>
  <c r="D25" i="3"/>
  <c r="P25" i="3"/>
  <c r="N25" i="3"/>
  <c r="S25" i="3"/>
  <c r="H25" i="3"/>
  <c r="F25" i="3"/>
  <c r="K25" i="3"/>
  <c r="U25" i="3"/>
  <c r="C25" i="3"/>
  <c r="M25" i="3"/>
  <c r="R25" i="3"/>
  <c r="E25" i="3"/>
  <c r="J25" i="3"/>
  <c r="V25" i="3"/>
  <c r="T25" i="3"/>
  <c r="Q25" i="3"/>
  <c r="G25" i="3"/>
  <c r="J45" i="3"/>
  <c r="N45" i="3"/>
  <c r="S45" i="3"/>
  <c r="Q45" i="3"/>
  <c r="F45" i="3"/>
  <c r="K45" i="3"/>
  <c r="I45" i="3"/>
  <c r="U45" i="3"/>
  <c r="C45" i="3"/>
  <c r="P45" i="3"/>
  <c r="M45" i="3"/>
  <c r="H45" i="3"/>
  <c r="E45" i="3"/>
  <c r="O45" i="3"/>
  <c r="T45" i="3"/>
  <c r="G45" i="3"/>
  <c r="L45" i="3"/>
  <c r="R45" i="3"/>
  <c r="V45" i="3"/>
  <c r="D45" i="3"/>
  <c r="O6" i="3"/>
  <c r="M6" i="3"/>
  <c r="S6" i="3"/>
  <c r="G6" i="3"/>
  <c r="J6" i="3"/>
  <c r="K6" i="3"/>
  <c r="T6" i="3"/>
  <c r="V6" i="3"/>
  <c r="C6" i="3"/>
  <c r="L6" i="3"/>
  <c r="F6" i="3"/>
  <c r="Q6" i="3"/>
  <c r="D6" i="3"/>
  <c r="E6" i="3"/>
  <c r="I6" i="3"/>
  <c r="U6" i="3"/>
  <c r="P6" i="3"/>
  <c r="R6" i="3"/>
  <c r="H6" i="3"/>
  <c r="N6" i="3"/>
  <c r="H76" i="3"/>
  <c r="M76" i="3"/>
  <c r="R76" i="3"/>
  <c r="V76" i="3"/>
  <c r="L76" i="3"/>
  <c r="G76" i="3"/>
  <c r="N76" i="3"/>
  <c r="J76" i="3"/>
  <c r="F76" i="3"/>
  <c r="S76" i="3"/>
  <c r="U76" i="3"/>
  <c r="K76" i="3"/>
  <c r="I76" i="3"/>
  <c r="C76" i="3"/>
  <c r="Q76" i="3"/>
  <c r="O76" i="3"/>
  <c r="E76" i="3"/>
  <c r="P76" i="3"/>
  <c r="D76" i="3"/>
  <c r="T76" i="3"/>
  <c r="N43" i="3"/>
  <c r="K43" i="3"/>
  <c r="F43" i="3"/>
  <c r="C43" i="3"/>
  <c r="U43" i="3"/>
  <c r="H43" i="3"/>
  <c r="Q43" i="3"/>
  <c r="M43" i="3"/>
  <c r="E43" i="3"/>
  <c r="I43" i="3"/>
  <c r="T43" i="3"/>
  <c r="R43" i="3"/>
  <c r="O43" i="3"/>
  <c r="L43" i="3"/>
  <c r="J43" i="3"/>
  <c r="G43" i="3"/>
  <c r="D43" i="3"/>
  <c r="P43" i="3"/>
  <c r="V43" i="3"/>
  <c r="S43" i="3"/>
  <c r="H36" i="3"/>
  <c r="C36" i="3"/>
  <c r="O36" i="3"/>
  <c r="L36" i="3"/>
  <c r="G36" i="3"/>
  <c r="D36" i="3"/>
  <c r="R36" i="3"/>
  <c r="V36" i="3"/>
  <c r="E36" i="3"/>
  <c r="J36" i="3"/>
  <c r="N36" i="3"/>
  <c r="U36" i="3"/>
  <c r="Q36" i="3"/>
  <c r="F36" i="3"/>
  <c r="T36" i="3"/>
  <c r="I36" i="3"/>
  <c r="S36" i="3"/>
  <c r="M36" i="3"/>
  <c r="P36" i="3"/>
  <c r="K36" i="3"/>
  <c r="K82" i="3"/>
  <c r="T82" i="3"/>
  <c r="C82" i="3"/>
  <c r="G82" i="3"/>
  <c r="P82" i="3"/>
  <c r="R82" i="3"/>
  <c r="F82" i="3"/>
  <c r="H82" i="3"/>
  <c r="U82" i="3"/>
  <c r="L82" i="3"/>
  <c r="N82" i="3"/>
  <c r="M82" i="3"/>
  <c r="J82" i="3"/>
  <c r="Q82" i="3"/>
  <c r="E82" i="3"/>
  <c r="V82" i="3"/>
  <c r="O82" i="3"/>
  <c r="S82" i="3"/>
  <c r="I82" i="3"/>
  <c r="D82" i="3"/>
  <c r="K56" i="3"/>
  <c r="O56" i="3"/>
  <c r="T56" i="3"/>
  <c r="C56" i="3"/>
  <c r="G56" i="3"/>
  <c r="L56" i="3"/>
  <c r="R56" i="3"/>
  <c r="V56" i="3"/>
  <c r="D56" i="3"/>
  <c r="J56" i="3"/>
  <c r="N56" i="3"/>
  <c r="Q56" i="3"/>
  <c r="F56" i="3"/>
  <c r="I56" i="3"/>
  <c r="U56" i="3"/>
  <c r="P56" i="3"/>
  <c r="M56" i="3"/>
  <c r="S56" i="3"/>
  <c r="H56" i="3"/>
  <c r="E56" i="3"/>
  <c r="V9" i="3"/>
  <c r="S9" i="3"/>
  <c r="N9" i="3"/>
  <c r="P9" i="3"/>
  <c r="F9" i="3"/>
  <c r="L9" i="3"/>
  <c r="U9" i="3"/>
  <c r="K9" i="3"/>
  <c r="Q9" i="3"/>
  <c r="M9" i="3"/>
  <c r="H9" i="3"/>
  <c r="I9" i="3"/>
  <c r="E9" i="3"/>
  <c r="T9" i="3"/>
  <c r="O9" i="3"/>
  <c r="R9" i="3"/>
  <c r="D9" i="3"/>
  <c r="G9" i="3"/>
  <c r="J9" i="3"/>
  <c r="C9" i="3"/>
  <c r="Q21" i="3"/>
  <c r="M21" i="3"/>
  <c r="P21" i="3"/>
  <c r="I21" i="3"/>
  <c r="E21" i="3"/>
  <c r="K21" i="3"/>
  <c r="L21" i="3"/>
  <c r="O21" i="3"/>
  <c r="T21" i="3"/>
  <c r="H21" i="3"/>
  <c r="C21" i="3"/>
  <c r="G21" i="3"/>
  <c r="V21" i="3"/>
  <c r="D21" i="3"/>
  <c r="S21" i="3"/>
  <c r="N21" i="3"/>
  <c r="R21" i="3"/>
  <c r="U21" i="3"/>
  <c r="F21" i="3"/>
  <c r="J21" i="3"/>
  <c r="O16" i="3"/>
  <c r="S16" i="3"/>
  <c r="F16" i="3"/>
  <c r="G16" i="3"/>
  <c r="U16" i="3"/>
  <c r="K16" i="3"/>
  <c r="Q16" i="3"/>
  <c r="M16" i="3"/>
  <c r="C16" i="3"/>
  <c r="V16" i="3"/>
  <c r="P16" i="3"/>
  <c r="R16" i="3"/>
  <c r="E16" i="3"/>
  <c r="H16" i="3"/>
  <c r="I16" i="3"/>
  <c r="T16" i="3"/>
  <c r="N16" i="3"/>
  <c r="L16" i="3"/>
  <c r="J16" i="3"/>
  <c r="D16" i="3"/>
  <c r="E83" i="3"/>
  <c r="V83" i="3"/>
  <c r="D83" i="3"/>
  <c r="R83" i="3"/>
  <c r="I83" i="3"/>
  <c r="J83" i="3"/>
  <c r="Q83" i="3"/>
  <c r="P83" i="3"/>
  <c r="O83" i="3"/>
  <c r="C83" i="3"/>
  <c r="T83" i="3"/>
  <c r="K83" i="3"/>
  <c r="G83" i="3"/>
  <c r="N83" i="3"/>
  <c r="S83" i="3"/>
  <c r="F83" i="3"/>
  <c r="U83" i="3"/>
  <c r="L83" i="3"/>
  <c r="H83" i="3"/>
  <c r="M83" i="3"/>
  <c r="T4" i="3"/>
  <c r="V4" i="3"/>
  <c r="L4" i="3"/>
  <c r="R4" i="3"/>
  <c r="S4" i="3"/>
  <c r="D4" i="3"/>
  <c r="Q4" i="3"/>
  <c r="N4" i="3"/>
  <c r="O4" i="3"/>
  <c r="K4" i="3"/>
  <c r="J4" i="3"/>
  <c r="G4" i="3"/>
  <c r="U4" i="3"/>
  <c r="C4" i="3"/>
  <c r="F4" i="3"/>
  <c r="H4" i="3"/>
  <c r="M4" i="3"/>
  <c r="P4" i="3"/>
  <c r="I4" i="3"/>
  <c r="E4" i="3"/>
  <c r="J78" i="3"/>
  <c r="F78" i="3"/>
  <c r="O78" i="3"/>
  <c r="Q78" i="3"/>
  <c r="G78" i="3"/>
  <c r="E78" i="3"/>
  <c r="V78" i="3"/>
  <c r="P78" i="3"/>
  <c r="T78" i="3"/>
  <c r="I78" i="3"/>
  <c r="C78" i="3"/>
  <c r="L78" i="3"/>
  <c r="U78" i="3"/>
  <c r="K78" i="3"/>
  <c r="D78" i="3"/>
  <c r="H78" i="3"/>
  <c r="N78" i="3"/>
  <c r="R78" i="3"/>
  <c r="S78" i="3"/>
  <c r="M78" i="3"/>
  <c r="V17" i="3"/>
  <c r="L17" i="3"/>
  <c r="U17" i="3"/>
  <c r="N17" i="3"/>
  <c r="K17" i="3"/>
  <c r="D17" i="3"/>
  <c r="F17" i="3"/>
  <c r="H17" i="3"/>
  <c r="Q17" i="3"/>
  <c r="M17" i="3"/>
  <c r="C17" i="3"/>
  <c r="S17" i="3"/>
  <c r="I17" i="3"/>
  <c r="E17" i="3"/>
  <c r="P17" i="3"/>
  <c r="G17" i="3"/>
  <c r="O17" i="3"/>
  <c r="R17" i="3"/>
  <c r="T17" i="3"/>
  <c r="J17" i="3"/>
  <c r="T66" i="3"/>
  <c r="O66" i="3"/>
  <c r="L66" i="3"/>
  <c r="G66" i="3"/>
  <c r="V66" i="3"/>
  <c r="D66" i="3"/>
  <c r="Q66" i="3"/>
  <c r="N66" i="3"/>
  <c r="S66" i="3"/>
  <c r="P66" i="3"/>
  <c r="F66" i="3"/>
  <c r="K66" i="3"/>
  <c r="I66" i="3"/>
  <c r="U66" i="3"/>
  <c r="C66" i="3"/>
  <c r="H66" i="3"/>
  <c r="M66" i="3"/>
  <c r="R66" i="3"/>
  <c r="E66" i="3"/>
  <c r="J66" i="3"/>
  <c r="F70" i="3"/>
  <c r="K70" i="3"/>
  <c r="I70" i="3"/>
  <c r="U70" i="3"/>
  <c r="C70" i="3"/>
  <c r="H70" i="3"/>
  <c r="M70" i="3"/>
  <c r="R70" i="3"/>
  <c r="E70" i="3"/>
  <c r="J70" i="3"/>
  <c r="T70" i="3"/>
  <c r="O70" i="3"/>
  <c r="L70" i="3"/>
  <c r="G70" i="3"/>
  <c r="V70" i="3"/>
  <c r="D70" i="3"/>
  <c r="Q70" i="3"/>
  <c r="N70" i="3"/>
  <c r="S70" i="3"/>
  <c r="P70" i="3"/>
  <c r="Q13" i="3"/>
  <c r="M13" i="3"/>
  <c r="D13" i="3"/>
  <c r="I13" i="3"/>
  <c r="E13" i="3"/>
  <c r="S13" i="3"/>
  <c r="G13" i="3"/>
  <c r="O13" i="3"/>
  <c r="R13" i="3"/>
  <c r="T13" i="3"/>
  <c r="C13" i="3"/>
  <c r="J13" i="3"/>
  <c r="V13" i="3"/>
  <c r="P13" i="3"/>
  <c r="H13" i="3"/>
  <c r="N13" i="3"/>
  <c r="L13" i="3"/>
  <c r="F13" i="3"/>
  <c r="K13" i="3"/>
  <c r="U13" i="3"/>
  <c r="T38" i="3"/>
  <c r="O38" i="3"/>
  <c r="L38" i="3"/>
  <c r="G38" i="3"/>
  <c r="V38" i="3"/>
  <c r="D38" i="3"/>
  <c r="I38" i="3"/>
  <c r="N38" i="3"/>
  <c r="S38" i="3"/>
  <c r="Q38" i="3"/>
  <c r="F38" i="3"/>
  <c r="K38" i="3"/>
  <c r="P38" i="3"/>
  <c r="U38" i="3"/>
  <c r="C38" i="3"/>
  <c r="H38" i="3"/>
  <c r="M38" i="3"/>
  <c r="R38" i="3"/>
  <c r="E38" i="3"/>
  <c r="J38" i="3"/>
  <c r="F26" i="3"/>
  <c r="K26" i="3"/>
  <c r="P26" i="3"/>
  <c r="U26" i="3"/>
  <c r="C26" i="3"/>
  <c r="I26" i="3"/>
  <c r="M26" i="3"/>
  <c r="R26" i="3"/>
  <c r="E26" i="3"/>
  <c r="J26" i="3"/>
  <c r="T26" i="3"/>
  <c r="O26" i="3"/>
  <c r="L26" i="3"/>
  <c r="G26" i="3"/>
  <c r="V26" i="3"/>
  <c r="D26" i="3"/>
  <c r="H26" i="3"/>
  <c r="N26" i="3"/>
  <c r="S26" i="3"/>
  <c r="Q26" i="3"/>
  <c r="V39" i="3"/>
  <c r="O39" i="3"/>
  <c r="U39" i="3"/>
  <c r="N39" i="3"/>
  <c r="E39" i="3"/>
  <c r="L39" i="3"/>
  <c r="S39" i="3"/>
  <c r="M39" i="3"/>
  <c r="H39" i="3"/>
  <c r="D39" i="3"/>
  <c r="R39" i="3"/>
  <c r="T39" i="3"/>
  <c r="G39" i="3"/>
  <c r="J39" i="3"/>
  <c r="Q39" i="3"/>
  <c r="P39" i="3"/>
  <c r="K39" i="3"/>
  <c r="I39" i="3"/>
  <c r="F39" i="3"/>
  <c r="C39" i="3"/>
  <c r="R7" i="3"/>
  <c r="P7" i="3"/>
  <c r="J7" i="3"/>
  <c r="O7" i="3"/>
  <c r="U7" i="3"/>
  <c r="Q7" i="3"/>
  <c r="L7" i="3"/>
  <c r="M7" i="3"/>
  <c r="I7" i="3"/>
  <c r="H7" i="3"/>
  <c r="E7" i="3"/>
  <c r="V7" i="3"/>
  <c r="G7" i="3"/>
  <c r="S7" i="3"/>
  <c r="N7" i="3"/>
  <c r="D7" i="3"/>
  <c r="K7" i="3"/>
  <c r="F7" i="3"/>
  <c r="C7" i="3"/>
  <c r="T7" i="3"/>
  <c r="E12" i="3"/>
  <c r="H12" i="3"/>
  <c r="T12" i="3"/>
  <c r="Q12" i="3"/>
  <c r="L12" i="3"/>
  <c r="N12" i="3"/>
  <c r="D12" i="3"/>
  <c r="O12" i="3"/>
  <c r="S12" i="3"/>
  <c r="I12" i="3"/>
  <c r="M12" i="3"/>
  <c r="V12" i="3"/>
  <c r="G12" i="3"/>
  <c r="K12" i="3"/>
  <c r="F12" i="3"/>
  <c r="P12" i="3"/>
  <c r="U12" i="3"/>
  <c r="C12" i="3"/>
  <c r="R12" i="3"/>
  <c r="J12" i="3"/>
  <c r="T30" i="3"/>
  <c r="O30" i="3"/>
  <c r="L30" i="3"/>
  <c r="G30" i="3"/>
  <c r="V30" i="3"/>
  <c r="D30" i="3"/>
  <c r="P30" i="3"/>
  <c r="N30" i="3"/>
  <c r="S30" i="3"/>
  <c r="H30" i="3"/>
  <c r="F30" i="3"/>
  <c r="K30" i="3"/>
  <c r="I30" i="3"/>
  <c r="U30" i="3"/>
  <c r="C30" i="3"/>
  <c r="Q30" i="3"/>
  <c r="M30" i="3"/>
  <c r="R30" i="3"/>
  <c r="E30" i="3"/>
  <c r="J30" i="3"/>
  <c r="E20" i="3"/>
  <c r="J20" i="3"/>
  <c r="P20" i="3"/>
  <c r="H20" i="3"/>
  <c r="Q20" i="3"/>
  <c r="T20" i="3"/>
  <c r="L20" i="3"/>
  <c r="O20" i="3"/>
  <c r="S20" i="3"/>
  <c r="N20" i="3"/>
  <c r="R20" i="3"/>
  <c r="V20" i="3"/>
  <c r="G20" i="3"/>
  <c r="K20" i="3"/>
  <c r="I20" i="3"/>
  <c r="M20" i="3"/>
  <c r="D20" i="3"/>
  <c r="U20" i="3"/>
  <c r="C20" i="3"/>
  <c r="F20" i="3"/>
  <c r="U42" i="3"/>
  <c r="Q42" i="3"/>
  <c r="P42" i="3"/>
  <c r="M42" i="3"/>
  <c r="I42" i="3"/>
  <c r="N42" i="3"/>
  <c r="E42" i="3"/>
  <c r="H42" i="3"/>
  <c r="T42" i="3"/>
  <c r="F42" i="3"/>
  <c r="L42" i="3"/>
  <c r="C42" i="3"/>
  <c r="D42" i="3"/>
  <c r="V42" i="3"/>
  <c r="O42" i="3"/>
  <c r="R42" i="3"/>
  <c r="S42" i="3"/>
  <c r="G42" i="3"/>
  <c r="J42" i="3"/>
  <c r="K42" i="3"/>
  <c r="T74" i="3"/>
  <c r="C74" i="3"/>
  <c r="S74" i="3"/>
  <c r="L74" i="3"/>
  <c r="M74" i="3"/>
  <c r="R74" i="3"/>
  <c r="D74" i="3"/>
  <c r="V74" i="3"/>
  <c r="I74" i="3"/>
  <c r="O74" i="3"/>
  <c r="K74" i="3"/>
  <c r="H74" i="3"/>
  <c r="G74" i="3"/>
  <c r="U74" i="3"/>
  <c r="P74" i="3"/>
  <c r="J74" i="3"/>
  <c r="E74" i="3"/>
  <c r="Q74" i="3"/>
  <c r="N74" i="3"/>
  <c r="F74" i="3"/>
  <c r="Q5" i="3"/>
  <c r="M5" i="3"/>
  <c r="K5" i="3"/>
  <c r="I5" i="3"/>
  <c r="E5" i="3"/>
  <c r="C5" i="3"/>
  <c r="G5" i="3"/>
  <c r="O5" i="3"/>
  <c r="R5" i="3"/>
  <c r="H5" i="3"/>
  <c r="J5" i="3"/>
  <c r="D5" i="3"/>
  <c r="V5" i="3"/>
  <c r="T5" i="3"/>
  <c r="N5" i="3"/>
  <c r="S5" i="3"/>
  <c r="F5" i="3"/>
  <c r="P5" i="3"/>
  <c r="U5" i="3"/>
  <c r="L5" i="3"/>
  <c r="O8" i="3"/>
  <c r="S8" i="3"/>
  <c r="J8" i="3"/>
  <c r="M8" i="3"/>
  <c r="G8" i="3"/>
  <c r="K8" i="3"/>
  <c r="I8" i="3"/>
  <c r="U8" i="3"/>
  <c r="C8" i="3"/>
  <c r="V8" i="3"/>
  <c r="E8" i="3"/>
  <c r="H8" i="3"/>
  <c r="P8" i="3"/>
  <c r="T8" i="3"/>
  <c r="R8" i="3"/>
  <c r="D8" i="3"/>
  <c r="F8" i="3"/>
  <c r="L8" i="3"/>
  <c r="Q8" i="3"/>
  <c r="N8" i="3"/>
  <c r="F34" i="3"/>
  <c r="K34" i="3"/>
  <c r="I34" i="3"/>
  <c r="U34" i="3"/>
  <c r="C34" i="3"/>
  <c r="H34" i="3"/>
  <c r="M34" i="3"/>
  <c r="R34" i="3"/>
  <c r="E34" i="3"/>
  <c r="J34" i="3"/>
  <c r="T34" i="3"/>
  <c r="O34" i="3"/>
  <c r="L34" i="3"/>
  <c r="G34" i="3"/>
  <c r="V34" i="3"/>
  <c r="D34" i="3"/>
  <c r="P34" i="3"/>
  <c r="N34" i="3"/>
  <c r="S34" i="3"/>
  <c r="Q34" i="3"/>
  <c r="X57" i="3"/>
  <c r="X44" i="3"/>
  <c r="X14" i="3"/>
  <c r="X19" i="3"/>
  <c r="X83" i="3"/>
  <c r="X69" i="3"/>
  <c r="X70" i="3"/>
  <c r="X25" i="3"/>
  <c r="X34" i="3"/>
  <c r="X79" i="3"/>
  <c r="X8" i="3"/>
  <c r="X63" i="3"/>
  <c r="X60" i="3"/>
  <c r="X21" i="3"/>
  <c r="X17" i="3"/>
  <c r="X35" i="3"/>
  <c r="X40" i="3"/>
  <c r="X73" i="3"/>
  <c r="X31" i="3"/>
  <c r="X78" i="3"/>
  <c r="X46" i="3"/>
  <c r="X20" i="3"/>
  <c r="X12" i="3"/>
  <c r="X76" i="3"/>
  <c r="X77" i="3"/>
  <c r="X24" i="3"/>
  <c r="X41" i="3"/>
  <c r="X5" i="3"/>
  <c r="X81" i="3"/>
  <c r="X48" i="3"/>
  <c r="X9" i="3"/>
  <c r="X61" i="3"/>
  <c r="X59" i="3"/>
  <c r="X30" i="3"/>
  <c r="X39" i="3"/>
  <c r="X23" i="3"/>
  <c r="X10" i="3"/>
  <c r="X16" i="3"/>
  <c r="X66" i="3"/>
  <c r="X22" i="3"/>
  <c r="X74" i="3"/>
  <c r="X45" i="3"/>
  <c r="X13" i="3"/>
  <c r="X80" i="3"/>
  <c r="X62" i="3"/>
  <c r="X47" i="3"/>
  <c r="X71" i="3"/>
  <c r="X32" i="3"/>
  <c r="X18" i="3"/>
  <c r="X4" i="3"/>
  <c r="X26" i="3"/>
  <c r="X55" i="3"/>
  <c r="X49" i="3"/>
  <c r="X64" i="3"/>
  <c r="X37" i="3"/>
  <c r="X43" i="3"/>
  <c r="X50" i="3"/>
  <c r="X11" i="3"/>
  <c r="X42" i="3"/>
  <c r="X65" i="3"/>
  <c r="X29" i="3"/>
  <c r="X58" i="3"/>
  <c r="X53" i="3"/>
  <c r="X56" i="3"/>
  <c r="X75" i="3"/>
  <c r="X72" i="3"/>
  <c r="X36" i="3"/>
  <c r="X38" i="3"/>
  <c r="X15" i="3"/>
  <c r="X68" i="3"/>
  <c r="X82" i="3"/>
  <c r="X52" i="3"/>
  <c r="X51" i="3"/>
  <c r="X33" i="3"/>
  <c r="X67" i="3"/>
  <c r="X27" i="3"/>
  <c r="X7" i="3"/>
  <c r="X6" i="3"/>
  <c r="X54" i="3"/>
  <c r="X28" i="3"/>
  <c r="Y51" i="3" l="1"/>
  <c r="Y56" i="3"/>
  <c r="F49" i="1" s="1"/>
  <c r="Y49" i="3"/>
  <c r="C53" i="1" s="1"/>
  <c r="Y45" i="3"/>
  <c r="C49" i="1" s="1"/>
  <c r="Y59" i="3"/>
  <c r="E52" i="1" s="1"/>
  <c r="Y48" i="3"/>
  <c r="C52" i="1" s="1"/>
  <c r="Y60" i="3"/>
  <c r="E53" i="1" s="1"/>
  <c r="Y44" i="3"/>
  <c r="D48" i="1" s="1"/>
  <c r="Y54" i="3"/>
  <c r="D58" i="1" s="1"/>
  <c r="Y53" i="3"/>
  <c r="D57" i="1" s="1"/>
  <c r="Y50" i="3"/>
  <c r="D54" i="1" s="1"/>
  <c r="Y47" i="3"/>
  <c r="D51" i="1" s="1"/>
  <c r="Y61" i="3"/>
  <c r="E54" i="1" s="1"/>
  <c r="Y46" i="3"/>
  <c r="D50" i="1" s="1"/>
  <c r="Y63" i="3"/>
  <c r="E56" i="1" s="1"/>
  <c r="Y57" i="3"/>
  <c r="F50" i="1" s="1"/>
  <c r="Y52" i="3"/>
  <c r="Y58" i="3"/>
  <c r="F51" i="1" s="1"/>
  <c r="Y55" i="3"/>
  <c r="E48" i="1" s="1"/>
  <c r="Y62" i="3"/>
  <c r="E55" i="1" s="1"/>
  <c r="Y67" i="3"/>
  <c r="D72" i="1" s="1"/>
  <c r="Y77" i="3"/>
  <c r="E71" i="1" s="1"/>
  <c r="Y68" i="3"/>
  <c r="C73" i="1" s="1"/>
  <c r="Y79" i="3"/>
  <c r="Y80" i="3"/>
  <c r="Y76" i="3"/>
  <c r="F70" i="1" s="1"/>
  <c r="Y73" i="3"/>
  <c r="C78" i="1" s="1"/>
  <c r="Y83" i="3"/>
  <c r="Y72" i="3"/>
  <c r="Y75" i="3"/>
  <c r="E69" i="1" s="1"/>
  <c r="Y71" i="3"/>
  <c r="D76" i="1" s="1"/>
  <c r="Y81" i="3"/>
  <c r="E75" i="1" s="1"/>
  <c r="Y66" i="3"/>
  <c r="C71" i="1" s="1"/>
  <c r="Y65" i="3"/>
  <c r="Y70" i="3"/>
  <c r="D75" i="1" s="1"/>
  <c r="Y69" i="3"/>
  <c r="C74" i="1" s="1"/>
  <c r="Y64" i="3"/>
  <c r="D69" i="1" s="1"/>
  <c r="Y74" i="3"/>
  <c r="C79" i="1" s="1"/>
  <c r="Y78" i="3"/>
  <c r="E72" i="1" s="1"/>
  <c r="Y82" i="3"/>
  <c r="Y41" i="3"/>
  <c r="E31" i="1" s="1"/>
  <c r="Y24" i="3"/>
  <c r="C25" i="1" s="1"/>
  <c r="Y28" i="3"/>
  <c r="Y27" i="3"/>
  <c r="D28" i="1" s="1"/>
  <c r="Y32" i="3"/>
  <c r="C33" i="1" s="1"/>
  <c r="Y34" i="3"/>
  <c r="C35" i="1" s="1"/>
  <c r="Y43" i="3"/>
  <c r="Y29" i="3"/>
  <c r="Y31" i="3"/>
  <c r="C32" i="1" s="1"/>
  <c r="Y40" i="3"/>
  <c r="F30" i="1" s="1"/>
  <c r="Y38" i="3"/>
  <c r="E28" i="1" s="1"/>
  <c r="Y36" i="3"/>
  <c r="Y39" i="3"/>
  <c r="Y33" i="3"/>
  <c r="C34" i="1" s="1"/>
  <c r="Y30" i="3"/>
  <c r="Y26" i="3"/>
  <c r="C27" i="1" s="1"/>
  <c r="Y25" i="3"/>
  <c r="D26" i="1" s="1"/>
  <c r="Y35" i="3"/>
  <c r="E25" i="1" s="1"/>
  <c r="Y37" i="3"/>
  <c r="F27" i="1" s="1"/>
  <c r="Y42" i="3"/>
  <c r="Y12" i="3"/>
  <c r="C15" i="1" s="1"/>
  <c r="Y11" i="3"/>
  <c r="D14" i="1" s="1"/>
  <c r="Y20" i="3"/>
  <c r="E12" i="1" s="1"/>
  <c r="Y22" i="3"/>
  <c r="Y7" i="3"/>
  <c r="Y4" i="3"/>
  <c r="Y13" i="3"/>
  <c r="C16" i="1" s="1"/>
  <c r="Y18" i="3"/>
  <c r="Y17" i="3"/>
  <c r="E9" i="1" s="1"/>
  <c r="Y6" i="3"/>
  <c r="Y21" i="3"/>
  <c r="Y9" i="3"/>
  <c r="C12" i="1" s="1"/>
  <c r="Y15" i="3"/>
  <c r="Y16" i="3"/>
  <c r="Y10" i="3"/>
  <c r="C13" i="1" s="1"/>
  <c r="Y23" i="3"/>
  <c r="Y19" i="3"/>
  <c r="Y5" i="3"/>
  <c r="D8" i="1" s="1"/>
  <c r="Y14" i="3"/>
  <c r="C17" i="1" s="1"/>
  <c r="Y8" i="3"/>
  <c r="E51" i="1"/>
  <c r="C50" i="1"/>
  <c r="D79" i="1"/>
  <c r="F55" i="1"/>
  <c r="D25" i="1"/>
  <c r="F48" i="1"/>
  <c r="E70" i="1"/>
  <c r="C58" i="1"/>
  <c r="C51" i="1"/>
  <c r="F71" i="1"/>
  <c r="F25" i="1"/>
  <c r="D49" i="1"/>
  <c r="E49" i="1"/>
  <c r="F69" i="1"/>
  <c r="D53" i="1"/>
  <c r="C57" i="1"/>
  <c r="C54" i="1"/>
  <c r="D52" i="1"/>
  <c r="C72" i="1" l="1"/>
  <c r="C69" i="1"/>
  <c r="D15" i="1"/>
  <c r="F9" i="1"/>
  <c r="F57" i="1"/>
  <c r="D33" i="1"/>
  <c r="F54" i="1"/>
  <c r="F52" i="1"/>
  <c r="F56" i="1"/>
  <c r="F53" i="1"/>
  <c r="D73" i="1"/>
  <c r="E30" i="1"/>
  <c r="C76" i="1"/>
  <c r="D17" i="1"/>
  <c r="F72" i="1"/>
  <c r="E57" i="1"/>
  <c r="F12" i="1"/>
  <c r="C26" i="1"/>
  <c r="C14" i="1"/>
  <c r="D12" i="1"/>
  <c r="E50" i="1"/>
  <c r="Z44" i="3"/>
  <c r="F58" i="1" s="1"/>
  <c r="E58" i="1" s="1"/>
  <c r="D27" i="1"/>
  <c r="F75" i="1"/>
  <c r="C8" i="1"/>
  <c r="C48" i="1"/>
  <c r="C56" i="1"/>
  <c r="D56" i="1"/>
  <c r="C55" i="1"/>
  <c r="D55" i="1"/>
  <c r="E27" i="1"/>
  <c r="D16" i="1"/>
  <c r="C75" i="1"/>
  <c r="D13" i="1"/>
  <c r="D78" i="1"/>
  <c r="F28" i="1"/>
  <c r="E32" i="1"/>
  <c r="F32" i="1"/>
  <c r="E26" i="1"/>
  <c r="F26" i="1"/>
  <c r="E77" i="1"/>
  <c r="F77" i="1"/>
  <c r="D71" i="1"/>
  <c r="D32" i="1"/>
  <c r="C29" i="1"/>
  <c r="D29" i="1"/>
  <c r="F10" i="1"/>
  <c r="E10" i="1"/>
  <c r="F8" i="1"/>
  <c r="E8" i="1"/>
  <c r="D7" i="1"/>
  <c r="C7" i="1"/>
  <c r="C70" i="1"/>
  <c r="D70" i="1"/>
  <c r="D10" i="1"/>
  <c r="C10" i="1"/>
  <c r="E74" i="1"/>
  <c r="F74" i="1"/>
  <c r="E15" i="1"/>
  <c r="F15" i="1"/>
  <c r="C11" i="1"/>
  <c r="D11" i="1"/>
  <c r="E14" i="1"/>
  <c r="F14" i="1"/>
  <c r="C30" i="1"/>
  <c r="D30" i="1"/>
  <c r="F76" i="1"/>
  <c r="E76" i="1"/>
  <c r="E73" i="1"/>
  <c r="F73" i="1"/>
  <c r="Z4" i="3"/>
  <c r="F16" i="1" s="1"/>
  <c r="E16" i="1" s="1"/>
  <c r="D74" i="1"/>
  <c r="Z64" i="3"/>
  <c r="F78" i="1" s="1"/>
  <c r="E78" i="1" s="1"/>
  <c r="F31" i="1"/>
  <c r="F13" i="1"/>
  <c r="E13" i="1"/>
  <c r="C31" i="1"/>
  <c r="D31" i="1"/>
  <c r="E33" i="1"/>
  <c r="F33" i="1"/>
  <c r="F7" i="1"/>
  <c r="E7" i="1"/>
  <c r="D9" i="1"/>
  <c r="C9" i="1"/>
  <c r="Z24" i="3"/>
  <c r="F34" i="1" s="1"/>
  <c r="E34" i="1" s="1"/>
  <c r="C28" i="1"/>
  <c r="F11" i="1"/>
  <c r="E11" i="1"/>
  <c r="F29" i="1"/>
  <c r="E29" i="1"/>
  <c r="C77" i="1"/>
  <c r="D77" i="1"/>
  <c r="AA4" i="3" l="1"/>
  <c r="AC4" i="3" s="1"/>
  <c r="H4" i="1" s="1"/>
  <c r="H3" i="1" l="1"/>
</calcChain>
</file>

<file path=xl/sharedStrings.xml><?xml version="1.0" encoding="utf-8"?>
<sst xmlns="http://schemas.openxmlformats.org/spreadsheetml/2006/main" count="120" uniqueCount="106">
  <si>
    <t>What is the social issue you are addressing with your organization?</t>
  </si>
  <si>
    <t>Organization Name</t>
  </si>
  <si>
    <t xml:space="preserve">We are creating a community of "tiny homes" to serve as transitional housing for homeless individuals in the Bay Area. </t>
  </si>
  <si>
    <t>Organization Rank</t>
  </si>
  <si>
    <t xml:space="preserve">This community will combine the social responsibility with the technological innovation of the Silicon Valley. </t>
  </si>
  <si>
    <t xml:space="preserve">Given the ever increasing cost of living, in addition to the exponential rate at which the divide between the rich and poor deepens, homelessness or the potential to become homeless is a threat for many individuals that are just a paycheck away from losing their livelihood. </t>
  </si>
  <si>
    <t xml:space="preserve">Our project addresses the lack of affordable housing, and will serve as a support system for individuals that need temporary help getting back on their feet. </t>
  </si>
  <si>
    <t>Key Terms</t>
  </si>
  <si>
    <t>Numerical Value</t>
  </si>
  <si>
    <t>What is the specific opportunity or challenge that you are presently responding to with work?</t>
  </si>
  <si>
    <t xml:space="preserve">We are serving a very targeted group of individuals who are homeless (or in danger of becoming homeless) that are either employed or seeking employment, and do not have mental health or substance abuse issues. </t>
  </si>
  <si>
    <t xml:space="preserve">According to an individual at the Homeless Systems for Santa Clara County, this target audience exists in abundance, and is growing rapidly. </t>
  </si>
  <si>
    <t xml:space="preserve">We plan to identify, interview, and screen individuals that need transitional housing for temporary periods ranging from six months to a year, provide a single or double occupancy “tiny home” in exchange for a small percentage of their income, and connect them with resources from various nonprofits and governmental agencies. </t>
  </si>
  <si>
    <t>Our organization is looking to employ a full-time individual as a case manager to ensure that each resident’s needs are identified and met.</t>
  </si>
  <si>
    <t xml:space="preserve">Our goal is for residents to be fully employed and living in permanent housing when they leave the community. </t>
  </si>
  <si>
    <t>What is the innovation that you have created?</t>
  </si>
  <si>
    <t xml:space="preserve">Our innovation lies in two areas: in the community design and in the sustainable, scalable model.  </t>
  </si>
  <si>
    <t xml:space="preserve">Our community is based on a “green” charter that cultivates environmental awareness and sustainable living. </t>
  </si>
  <si>
    <t xml:space="preserve">Each home will use minimal resources, and will be highly efficient in energy consumption. </t>
  </si>
  <si>
    <t xml:space="preserve">We are in contact with several companies in the Silicon Valley to incorporate renewable energy projects to further reduce our carbon footprint and to pioneer scientific advancements in sustainable living. </t>
  </si>
  <si>
    <t>Secondly, we are working to ensure that our model for the project is financially sustainable.</t>
  </si>
  <si>
    <t xml:space="preserve">After the initial investments have been made, our budget will be comprised primarily from the revenue generated by the CRV from bottles donated by local event centers, corporations, and households. </t>
  </si>
  <si>
    <t xml:space="preserve">We are seeking expert advice from hundreds of people to ensure that we have a thoroughly researched, viable model with limited liability. </t>
  </si>
  <si>
    <t xml:space="preserve">Essentially, we’re connecting our passion for environmentalism to our desire to improve humanity. </t>
  </si>
  <si>
    <t>What specifically are you interested in learning from the community foundation? </t>
  </si>
  <si>
    <t>I am particularly interested in your experience working with nonprofits, and your insight into the Bay Area’s receptiveness to nonprofit endeavors. Below is a list of questions I’d like to ask:</t>
  </si>
  <si>
    <t>In your experience, what separates a “successful” nonprofit from an “unsuccessful” nonprofit?</t>
  </si>
  <si>
    <t>Can you connect me with any organization that may also have similar interests or goals? what are some situations that early stage nonprofits fail to anticipate?</t>
  </si>
  <si>
    <t>Do you have any book recommendations for how to build and launch a nonprofit?</t>
  </si>
  <si>
    <t>clean text to strip punctuation for better use in functions</t>
  </si>
  <si>
    <t>pull key words out of the sentence</t>
  </si>
  <si>
    <t>move text to columns to separate terms</t>
  </si>
  <si>
    <t>find only unique words from the given range of cells: Apply formula as:
=UNIQUE("place here a range of cells";"place here a number")
number 1,2,3.... number tells you the next different unique value.
When no different values are found, next cell in a row beneath is blank.
Values are placeholders to allow the next unique value to be shown, they don't have numerical weight</t>
  </si>
  <si>
    <t>look at the cell in K column, compare to table Terms, list value here</t>
  </si>
  <si>
    <t>add all columns together to get subtotal for org</t>
  </si>
  <si>
    <t>Grand Total of all Subtotals for Each Question</t>
  </si>
  <si>
    <t>for Vlookup values to work properly, you can only have one word term to represent a noun each (any terms that are similar will throw off the lookup, e.g. innovate, innovating instead use innovate only), you must also use the range look up in the function to specify if the values in the column are an exact or fuzzy match; fuzzy match = you must alphabetize your vlookup table</t>
  </si>
  <si>
    <t>term</t>
  </si>
  <si>
    <t>value</t>
  </si>
  <si>
    <t>Values Reference for OFFSET function--DO NOT REMOVE OR CHANGE ORDER</t>
  </si>
  <si>
    <t>Education</t>
  </si>
  <si>
    <t>Elderly</t>
  </si>
  <si>
    <t>Experimentation</t>
  </si>
  <si>
    <t>Health</t>
  </si>
  <si>
    <t>Homelessness</t>
  </si>
  <si>
    <t>Housing</t>
  </si>
  <si>
    <t>Initiatives</t>
  </si>
  <si>
    <t>Innovation</t>
  </si>
  <si>
    <t>Literacy</t>
  </si>
  <si>
    <t>Local</t>
  </si>
  <si>
    <t>Muslim</t>
  </si>
  <si>
    <t>Regional</t>
  </si>
  <si>
    <t>Transportation</t>
  </si>
  <si>
    <t>Veterans</t>
  </si>
  <si>
    <t>Benefits of the Form</t>
  </si>
  <si>
    <t>Choosing terms and Assigning Values: Best Practices</t>
  </si>
  <si>
    <t>Disclaimer</t>
  </si>
  <si>
    <t>permanent record of organizations met with</t>
  </si>
  <si>
    <t>look through older notes to find terms that are listed multiple time (most likely these will be important terms for you); these terms will be key terms to use in the Values Table</t>
  </si>
  <si>
    <t>This form has not been tested for validity and reliability</t>
  </si>
  <si>
    <t>permanent record as reference for organizations that disagree with decision outcomes from meeting</t>
  </si>
  <si>
    <t>the more times the term appears, the higher a value it should receive</t>
  </si>
  <si>
    <t>Currently, this form is specifically intended for internal use in creating a protocol for prospective organizations during the interview process</t>
  </si>
  <si>
    <t>real time ranking during interview process: all your numbers are calculated on the spot, decision to pursue or not can be made on the spot</t>
  </si>
  <si>
    <t>use ordinal numbers to determine rank value of terms for the Values Table</t>
  </si>
  <si>
    <t>quickly view where the organization is exceeding or falling short on questions asked</t>
  </si>
  <si>
    <t>quickly view where opportunities lie based on value total for questions asked (higher totals = greater opportunities) and what strategies to focus on moving forward with the organization</t>
  </si>
  <si>
    <t>Diversity</t>
  </si>
  <si>
    <t>Immigrant</t>
  </si>
  <si>
    <t>Immigration</t>
  </si>
  <si>
    <t>Percent</t>
  </si>
  <si>
    <t>One sentence per cell will give you the best results.</t>
  </si>
  <si>
    <t xml:space="preserve"> Your key terms will show up in the adjacent tables.</t>
  </si>
  <si>
    <t>Additional Instructions</t>
  </si>
  <si>
    <t>Total Possible Points for Each Question</t>
  </si>
  <si>
    <t xml:space="preserve">Avoid using the following symbols:
 -  +  =  / as Excel will identify it as an operator. </t>
  </si>
  <si>
    <t>Letter Grade</t>
  </si>
  <si>
    <t>Percent of Total</t>
  </si>
  <si>
    <t>Development</t>
  </si>
  <si>
    <t>Mesh</t>
  </si>
  <si>
    <t>Senior</t>
  </si>
  <si>
    <t>Undocumented</t>
  </si>
  <si>
    <t>Social</t>
  </si>
  <si>
    <t>Impact</t>
  </si>
  <si>
    <t>Homeless</t>
  </si>
  <si>
    <t>for Vlookup table: each word has a number to separate compound words but still be useable in the functions that need to use it</t>
  </si>
  <si>
    <t>Capacity_building</t>
  </si>
  <si>
    <t>Civic_engagement</t>
  </si>
  <si>
    <t>Community_based</t>
  </si>
  <si>
    <t>Community_engagement</t>
  </si>
  <si>
    <t>Community_lead</t>
  </si>
  <si>
    <t>Disaster_preparedness</t>
  </si>
  <si>
    <t>Early_learning</t>
  </si>
  <si>
    <t>Early_literacy</t>
  </si>
  <si>
    <t>Economic_security</t>
  </si>
  <si>
    <t>Emergency_readiness</t>
  </si>
  <si>
    <t>Environmental_education</t>
  </si>
  <si>
    <t>Financial_education</t>
  </si>
  <si>
    <t>Leaders_of_color</t>
  </si>
  <si>
    <t>Leadership_development</t>
  </si>
  <si>
    <t>Mesh_networks</t>
  </si>
  <si>
    <t>People_of_color</t>
  </si>
  <si>
    <t>Regional_planning</t>
  </si>
  <si>
    <t>Senior_citizens</t>
  </si>
  <si>
    <t xml:space="preserve">so, i take mp's notes
format them so fit import formatting
find/replace terms to match those in values table (use underscore for compound terms)
import into spreadsheet
spreadsheet calculates properly and returns overall ranking
</t>
  </si>
  <si>
    <t>Sample
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</si>
</sst>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1"/>
      <name val="Calibri"/>
      <family val="2"/>
      <scheme val="minor"/>
    </font>
    <font>
      <b/>
      <sz val="22"/>
      <color theme="1"/>
      <name val="Garamond"/>
      <family val="1"/>
    </font>
    <font>
      <sz val="16"/>
      <color theme="1"/>
      <name val="Garamond"/>
      <family val="1"/>
    </font>
    <font>
      <b/>
      <sz val="26"/>
      <color rgb="FFFF0000"/>
      <name val="Garamond"/>
      <family val="1"/>
    </font>
    <font>
      <b/>
      <sz val="20"/>
      <color theme="1"/>
      <name val="Garamond"/>
      <family val="1"/>
    </font>
    <font>
      <sz val="20"/>
      <color theme="1"/>
      <name val="Garamond"/>
      <family val="1"/>
    </font>
    <font>
      <b/>
      <sz val="14"/>
      <color theme="0"/>
      <name val="Garamond"/>
      <family val="1"/>
    </font>
    <font>
      <sz val="14"/>
      <color theme="1"/>
      <name val="Garamond"/>
      <family val="1"/>
    </font>
    <font>
      <b/>
      <sz val="14"/>
      <name val="Garamond"/>
      <family val="1"/>
    </font>
    <font>
      <sz val="11"/>
      <color theme="0"/>
      <name val="Calibri"/>
      <family val="2"/>
      <scheme val="minor"/>
    </font>
    <font>
      <sz val="18"/>
      <color theme="1"/>
      <name val="Garamond"/>
      <family val="1"/>
    </font>
    <font>
      <sz val="14"/>
      <color theme="0"/>
      <name val="Garamond"/>
      <family val="1"/>
    </font>
    <font>
      <b/>
      <sz val="18"/>
      <color theme="1"/>
      <name val="Garamond"/>
      <family val="1"/>
    </font>
    <font>
      <b/>
      <sz val="16"/>
      <color rgb="FFFF0000"/>
      <name val="Garamond"/>
      <family val="1"/>
    </font>
    <font>
      <sz val="16"/>
      <color theme="1"/>
      <name val="Calibri"/>
      <family val="2"/>
      <scheme val="minor"/>
    </font>
    <font>
      <b/>
      <sz val="19"/>
      <name val="Garamond"/>
      <family val="1"/>
    </font>
    <font>
      <sz val="11"/>
      <color theme="1"/>
      <name val="Calibri"/>
      <family val="2"/>
      <scheme val="minor"/>
    </font>
    <font>
      <b/>
      <sz val="14"/>
      <color theme="1"/>
      <name val="Garamond"/>
      <family val="1"/>
    </font>
    <font>
      <sz val="18"/>
      <color theme="1"/>
      <name val="Calibri"/>
      <family val="2"/>
      <scheme val="minor"/>
    </font>
    <font>
      <b/>
      <sz val="10"/>
      <color theme="1"/>
      <name val="Calibri"/>
      <family val="2"/>
      <scheme val="minor"/>
    </font>
  </fonts>
  <fills count="23">
    <fill>
      <patternFill patternType="none"/>
    </fill>
    <fill>
      <patternFill patternType="gray125"/>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34998626667073579"/>
        <bgColor indexed="64"/>
      </patternFill>
    </fill>
    <fill>
      <patternFill patternType="solid">
        <fgColor theme="6" tint="0.39997558519241921"/>
        <bgColor indexed="64"/>
      </patternFill>
    </fill>
    <fill>
      <patternFill patternType="solid">
        <fgColor theme="8" tint="0.79998168889431442"/>
        <bgColor theme="4"/>
      </patternFill>
    </fill>
    <fill>
      <patternFill patternType="solid">
        <fgColor theme="8" tint="0.79998168889431442"/>
        <bgColor theme="4" tint="0.79998168889431442"/>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bgColor theme="8"/>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7" tint="0.79998168889431442"/>
        <bgColor theme="7" tint="0.79998168889431442"/>
      </patternFill>
    </fill>
    <fill>
      <patternFill patternType="solid">
        <fgColor theme="7"/>
        <bgColor theme="7"/>
      </patternFill>
    </fill>
    <fill>
      <patternFill patternType="solid">
        <fgColor theme="7" tint="0.59999389629810485"/>
        <bgColor theme="7" tint="0.59999389629810485"/>
      </patternFill>
    </fill>
    <fill>
      <patternFill patternType="solid">
        <fgColor theme="1"/>
        <bgColor indexed="64"/>
      </patternFill>
    </fill>
    <fill>
      <patternFill patternType="solid">
        <fgColor theme="7" tint="0.59999389629810485"/>
        <bgColor indexed="64"/>
      </patternFill>
    </fill>
    <fill>
      <patternFill patternType="solid">
        <fgColor theme="8" tint="0.79998168889431442"/>
        <bgColor indexed="64"/>
      </patternFill>
    </fill>
  </fills>
  <borders count="1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right/>
      <top style="thick">
        <color theme="0"/>
      </top>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7" fillId="0" borderId="0" applyFont="0" applyFill="0" applyBorder="0" applyAlignment="0" applyProtection="0"/>
  </cellStyleXfs>
  <cellXfs count="104">
    <xf numFmtId="0" fontId="0" fillId="0" borderId="0" xfId="0"/>
    <xf numFmtId="0" fontId="0" fillId="0" borderId="0" xfId="0" applyProtection="1">
      <protection locked="0"/>
    </xf>
    <xf numFmtId="0" fontId="0" fillId="6" borderId="0" xfId="0" applyFill="1" applyProtection="1">
      <protection hidden="1"/>
    </xf>
    <xf numFmtId="0" fontId="0" fillId="0" borderId="0" xfId="0" applyProtection="1">
      <protection hidden="1"/>
    </xf>
    <xf numFmtId="0" fontId="5" fillId="8" borderId="2" xfId="0" applyFont="1" applyFill="1" applyBorder="1" applyAlignment="1" applyProtection="1">
      <alignment horizontal="center" vertical="center"/>
      <protection hidden="1"/>
    </xf>
    <xf numFmtId="0" fontId="5" fillId="8" borderId="3" xfId="0" applyFont="1" applyFill="1" applyBorder="1" applyAlignment="1" applyProtection="1">
      <alignment horizontal="center" vertical="center"/>
      <protection hidden="1"/>
    </xf>
    <xf numFmtId="0" fontId="5" fillId="8" borderId="4" xfId="0" applyFont="1" applyFill="1" applyBorder="1" applyAlignment="1" applyProtection="1">
      <alignment horizontal="center" vertical="center"/>
      <protection hidden="1"/>
    </xf>
    <xf numFmtId="0" fontId="3" fillId="6" borderId="5" xfId="0" applyFont="1" applyFill="1" applyBorder="1" applyAlignment="1" applyProtection="1">
      <alignment horizontal="center" vertical="center"/>
      <protection hidden="1"/>
    </xf>
    <xf numFmtId="0" fontId="3" fillId="6" borderId="0" xfId="0" applyFont="1" applyFill="1" applyBorder="1" applyAlignment="1" applyProtection="1">
      <alignment horizontal="center" vertical="center"/>
      <protection hidden="1"/>
    </xf>
    <xf numFmtId="0" fontId="3" fillId="6" borderId="6" xfId="0" applyFont="1" applyFill="1" applyBorder="1" applyAlignment="1" applyProtection="1">
      <alignment horizontal="center" vertical="center"/>
      <protection hidden="1"/>
    </xf>
    <xf numFmtId="0" fontId="3" fillId="6" borderId="7" xfId="0" applyFont="1" applyFill="1" applyBorder="1" applyAlignment="1" applyProtection="1">
      <alignment horizontal="center" vertical="center"/>
      <protection hidden="1"/>
    </xf>
    <xf numFmtId="0" fontId="0" fillId="6" borderId="0" xfId="0" applyFill="1" applyBorder="1" applyProtection="1">
      <protection hidden="1"/>
    </xf>
    <xf numFmtId="0" fontId="0" fillId="3" borderId="0" xfId="0" applyFill="1" applyProtection="1">
      <protection locked="0"/>
    </xf>
    <xf numFmtId="0" fontId="0" fillId="3" borderId="0" xfId="0" applyFill="1" applyBorder="1" applyProtection="1">
      <protection locked="0"/>
    </xf>
    <xf numFmtId="0" fontId="2" fillId="4" borderId="1" xfId="0" applyFont="1" applyFill="1" applyBorder="1" applyAlignment="1" applyProtection="1">
      <alignment horizontal="left" vertical="center" wrapText="1"/>
      <protection locked="0"/>
    </xf>
    <xf numFmtId="0" fontId="0" fillId="3" borderId="0" xfId="0" applyFill="1" applyProtection="1">
      <protection hidden="1"/>
    </xf>
    <xf numFmtId="0" fontId="1" fillId="0" borderId="0" xfId="0" applyFont="1" applyFill="1" applyAlignment="1" applyProtection="1">
      <alignment wrapText="1"/>
      <protection hidden="1"/>
    </xf>
    <xf numFmtId="0" fontId="1" fillId="0" borderId="0" xfId="0" applyFont="1" applyAlignment="1" applyProtection="1">
      <alignment wrapText="1"/>
      <protection hidden="1"/>
    </xf>
    <xf numFmtId="0" fontId="1" fillId="0" borderId="0" xfId="0" applyFont="1" applyProtection="1">
      <protection hidden="1"/>
    </xf>
    <xf numFmtId="0" fontId="0" fillId="0" borderId="0" xfId="0" applyAlignment="1" applyProtection="1">
      <alignment vertical="top" wrapText="1"/>
      <protection hidden="1"/>
    </xf>
    <xf numFmtId="0" fontId="0" fillId="0" borderId="0" xfId="0" applyFill="1" applyProtection="1">
      <protection hidden="1"/>
    </xf>
    <xf numFmtId="0" fontId="0" fillId="0" borderId="0" xfId="0" applyBorder="1" applyProtection="1">
      <protection hidden="1"/>
    </xf>
    <xf numFmtId="0" fontId="0" fillId="0" borderId="1" xfId="0" applyBorder="1" applyProtection="1">
      <protection hidden="1"/>
    </xf>
    <xf numFmtId="0" fontId="0" fillId="0" borderId="3" xfId="0" applyBorder="1" applyProtection="1">
      <protection hidden="1"/>
    </xf>
    <xf numFmtId="0" fontId="0" fillId="7" borderId="0" xfId="0" applyFill="1" applyProtection="1">
      <protection hidden="1"/>
    </xf>
    <xf numFmtId="0" fontId="6" fillId="0" borderId="0" xfId="0" applyFont="1" applyFill="1" applyAlignment="1" applyProtection="1">
      <alignment wrapText="1"/>
      <protection locked="0"/>
    </xf>
    <xf numFmtId="0" fontId="7" fillId="11" borderId="0" xfId="0" applyFont="1" applyFill="1" applyBorder="1" applyAlignment="1">
      <alignment horizontal="center" vertical="center" wrapText="1"/>
    </xf>
    <xf numFmtId="0" fontId="8" fillId="0" borderId="0" xfId="0" applyFont="1"/>
    <xf numFmtId="0" fontId="7" fillId="14" borderId="0" xfId="0" applyFont="1" applyFill="1" applyBorder="1" applyAlignment="1">
      <alignment horizontal="center" vertical="center" wrapText="1"/>
    </xf>
    <xf numFmtId="0" fontId="7" fillId="18" borderId="0" xfId="0" applyFont="1" applyFill="1" applyBorder="1" applyAlignment="1">
      <alignment horizontal="center" vertical="center" wrapText="1"/>
    </xf>
    <xf numFmtId="0" fontId="8" fillId="12" borderId="11" xfId="0" applyFont="1" applyFill="1" applyBorder="1" applyAlignment="1">
      <alignment vertical="center" wrapText="1"/>
    </xf>
    <xf numFmtId="0" fontId="8" fillId="15" borderId="11" xfId="0" applyFont="1" applyFill="1" applyBorder="1" applyAlignment="1">
      <alignment vertical="center" wrapText="1"/>
    </xf>
    <xf numFmtId="0" fontId="8" fillId="19" borderId="11" xfId="0" applyFont="1" applyFill="1" applyBorder="1" applyAlignment="1">
      <alignment vertical="center" wrapText="1"/>
    </xf>
    <xf numFmtId="0" fontId="8" fillId="13" borderId="10" xfId="0" applyFont="1" applyFill="1" applyBorder="1" applyAlignment="1">
      <alignment vertical="center" wrapText="1"/>
    </xf>
    <xf numFmtId="0" fontId="8" fillId="16" borderId="10" xfId="0" applyFont="1" applyFill="1" applyBorder="1" applyAlignment="1">
      <alignment vertical="center" wrapText="1"/>
    </xf>
    <xf numFmtId="0" fontId="8" fillId="17" borderId="10" xfId="0" applyFont="1" applyFill="1" applyBorder="1" applyAlignment="1">
      <alignment vertical="center" wrapText="1"/>
    </xf>
    <xf numFmtId="0" fontId="8" fillId="12" borderId="10" xfId="0" applyFont="1" applyFill="1" applyBorder="1" applyAlignment="1">
      <alignment vertical="center" wrapText="1"/>
    </xf>
    <xf numFmtId="0" fontId="8" fillId="15" borderId="10" xfId="0" applyFont="1" applyFill="1" applyBorder="1" applyAlignment="1">
      <alignment vertical="center" wrapText="1"/>
    </xf>
    <xf numFmtId="0" fontId="8" fillId="0" borderId="0" xfId="0" applyFont="1" applyAlignment="1">
      <alignment wrapText="1"/>
    </xf>
    <xf numFmtId="0" fontId="9" fillId="9" borderId="9" xfId="0" applyFont="1" applyFill="1" applyBorder="1" applyAlignment="1" applyProtection="1">
      <alignment horizontal="center"/>
    </xf>
    <xf numFmtId="0" fontId="8" fillId="0" borderId="0" xfId="0" applyFont="1" applyProtection="1"/>
    <xf numFmtId="0" fontId="0" fillId="20" borderId="0" xfId="0" applyFill="1" applyProtection="1">
      <protection hidden="1"/>
    </xf>
    <xf numFmtId="0" fontId="0" fillId="20" borderId="0" xfId="0" applyFill="1" applyBorder="1" applyProtection="1">
      <protection hidden="1"/>
    </xf>
    <xf numFmtId="0" fontId="0" fillId="20" borderId="1" xfId="0" applyFill="1" applyBorder="1" applyProtection="1">
      <protection hidden="1"/>
    </xf>
    <xf numFmtId="0" fontId="0" fillId="0" borderId="0" xfId="0" applyFill="1" applyAlignment="1" applyProtection="1">
      <alignment vertical="top" wrapText="1"/>
      <protection hidden="1"/>
    </xf>
    <xf numFmtId="0" fontId="0" fillId="0" borderId="0" xfId="0" applyFill="1" applyAlignment="1" applyProtection="1">
      <protection hidden="1"/>
    </xf>
    <xf numFmtId="0" fontId="0" fillId="7" borderId="0" xfId="0" applyFill="1" applyAlignment="1" applyProtection="1">
      <alignment vertical="top" wrapText="1"/>
      <protection hidden="1"/>
    </xf>
    <xf numFmtId="0" fontId="1" fillId="20" borderId="0" xfId="0" applyFont="1" applyFill="1" applyAlignment="1" applyProtection="1">
      <alignment wrapText="1"/>
      <protection hidden="1"/>
    </xf>
    <xf numFmtId="0" fontId="0" fillId="20" borderId="3" xfId="0" applyFill="1" applyBorder="1" applyProtection="1">
      <protection hidden="1"/>
    </xf>
    <xf numFmtId="0" fontId="0" fillId="0" borderId="0" xfId="0" applyAlignment="1">
      <alignment vertical="center"/>
    </xf>
    <xf numFmtId="0" fontId="0" fillId="0" borderId="3" xfId="0" applyFill="1" applyBorder="1" applyProtection="1">
      <protection hidden="1"/>
    </xf>
    <xf numFmtId="0" fontId="0" fillId="0" borderId="0" xfId="0" applyFill="1" applyBorder="1" applyProtection="1">
      <protection hidden="1"/>
    </xf>
    <xf numFmtId="0" fontId="0" fillId="0" borderId="1" xfId="0" applyBorder="1" applyAlignment="1">
      <alignment vertical="center"/>
    </xf>
    <xf numFmtId="0" fontId="0" fillId="0" borderId="1" xfId="0" applyFill="1" applyBorder="1" applyProtection="1">
      <protection hidden="1"/>
    </xf>
    <xf numFmtId="0" fontId="13" fillId="6" borderId="0" xfId="0" applyFont="1" applyFill="1" applyAlignment="1" applyProtection="1">
      <alignment horizontal="right" vertical="center"/>
      <protection hidden="1"/>
    </xf>
    <xf numFmtId="14" fontId="13" fillId="6" borderId="0" xfId="0" applyNumberFormat="1" applyFont="1" applyFill="1" applyAlignment="1" applyProtection="1">
      <alignment horizontal="right"/>
      <protection hidden="1"/>
    </xf>
    <xf numFmtId="0" fontId="8" fillId="0" borderId="0" xfId="0" applyFont="1" applyAlignment="1" applyProtection="1"/>
    <xf numFmtId="49" fontId="8" fillId="10" borderId="9" xfId="0" applyNumberFormat="1" applyFont="1" applyFill="1" applyBorder="1" applyAlignment="1" applyProtection="1">
      <alignment horizontal="left"/>
    </xf>
    <xf numFmtId="1" fontId="8" fillId="10" borderId="9" xfId="0" applyNumberFormat="1" applyFont="1" applyFill="1" applyBorder="1" applyAlignment="1" applyProtection="1">
      <alignment horizontal="left"/>
    </xf>
    <xf numFmtId="0" fontId="0" fillId="6" borderId="0" xfId="0" applyFill="1" applyBorder="1" applyAlignment="1" applyProtection="1">
      <protection hidden="1"/>
    </xf>
    <xf numFmtId="0" fontId="0" fillId="0" borderId="0" xfId="0" applyFill="1" applyAlignment="1">
      <alignment vertical="center"/>
    </xf>
    <xf numFmtId="0" fontId="0" fillId="0" borderId="1" xfId="0" applyFill="1" applyBorder="1" applyAlignment="1">
      <alignment vertical="center"/>
    </xf>
    <xf numFmtId="1" fontId="8" fillId="0" borderId="0" xfId="0" applyNumberFormat="1" applyFont="1" applyAlignment="1" applyProtection="1"/>
    <xf numFmtId="0" fontId="12" fillId="0" borderId="0" xfId="0" applyFont="1" applyProtection="1"/>
    <xf numFmtId="1" fontId="0" fillId="0" borderId="0" xfId="0" applyNumberFormat="1" applyFill="1" applyProtection="1">
      <protection hidden="1"/>
    </xf>
    <xf numFmtId="0" fontId="0" fillId="0" borderId="0" xfId="0" applyAlignment="1" applyProtection="1">
      <alignment wrapText="1"/>
      <protection hidden="1"/>
    </xf>
    <xf numFmtId="0" fontId="11" fillId="6" borderId="0" xfId="0" applyFont="1" applyFill="1" applyAlignment="1" applyProtection="1">
      <alignment horizontal="right"/>
      <protection hidden="1"/>
    </xf>
    <xf numFmtId="0" fontId="4" fillId="5" borderId="0" xfId="0" applyFont="1" applyFill="1" applyAlignment="1" applyProtection="1">
      <alignment horizontal="center" vertical="center"/>
      <protection hidden="1"/>
    </xf>
    <xf numFmtId="0" fontId="10" fillId="0" borderId="12" xfId="0" applyFont="1" applyBorder="1" applyProtection="1"/>
    <xf numFmtId="164" fontId="0" fillId="0" borderId="0" xfId="0" applyNumberFormat="1" applyFill="1" applyAlignment="1" applyProtection="1">
      <alignment vertical="top"/>
      <protection hidden="1"/>
    </xf>
    <xf numFmtId="9" fontId="4" fillId="5" borderId="0" xfId="1" applyFont="1" applyFill="1" applyAlignment="1" applyProtection="1">
      <alignment horizontal="center" vertical="center"/>
      <protection hidden="1"/>
    </xf>
    <xf numFmtId="0" fontId="1" fillId="2" borderId="0" xfId="0" applyFont="1" applyFill="1" applyAlignment="1" applyProtection="1">
      <alignment wrapText="1"/>
      <protection hidden="1"/>
    </xf>
    <xf numFmtId="49" fontId="18" fillId="0" borderId="5" xfId="0" applyNumberFormat="1" applyFont="1" applyFill="1" applyBorder="1" applyAlignment="1" applyProtection="1">
      <alignment horizontal="left"/>
    </xf>
    <xf numFmtId="49" fontId="8" fillId="0" borderId="5" xfId="0" applyNumberFormat="1" applyFont="1" applyFill="1" applyBorder="1" applyAlignment="1" applyProtection="1">
      <alignment horizontal="left"/>
    </xf>
    <xf numFmtId="0" fontId="14" fillId="6" borderId="1" xfId="0" applyFont="1" applyFill="1" applyBorder="1" applyAlignment="1" applyProtection="1">
      <alignment horizontal="center" wrapText="1"/>
      <protection hidden="1"/>
    </xf>
    <xf numFmtId="0" fontId="14" fillId="6" borderId="8" xfId="0" applyFont="1" applyFill="1" applyBorder="1" applyAlignment="1" applyProtection="1">
      <alignment horizontal="center" wrapText="1"/>
      <protection hidden="1"/>
    </xf>
    <xf numFmtId="49" fontId="8" fillId="22" borderId="9" xfId="0" applyNumberFormat="1" applyFont="1" applyFill="1" applyBorder="1" applyAlignment="1" applyProtection="1">
      <alignment horizontal="left"/>
    </xf>
    <xf numFmtId="0" fontId="8" fillId="22" borderId="14" xfId="0" applyFont="1" applyFill="1" applyBorder="1" applyProtection="1"/>
    <xf numFmtId="0" fontId="20" fillId="2" borderId="0" xfId="0" applyFont="1" applyFill="1" applyAlignment="1" applyProtection="1">
      <alignment wrapText="1"/>
      <protection hidden="1"/>
    </xf>
    <xf numFmtId="0" fontId="5" fillId="8" borderId="0" xfId="0" applyFont="1" applyFill="1" applyBorder="1" applyAlignment="1" applyProtection="1">
      <alignment horizontal="center" vertical="center"/>
      <protection hidden="1"/>
    </xf>
    <xf numFmtId="49" fontId="8" fillId="0" borderId="0" xfId="0" applyNumberFormat="1" applyFont="1" applyFill="1" applyBorder="1" applyAlignment="1" applyProtection="1">
      <alignment horizontal="left"/>
      <protection locked="0"/>
    </xf>
    <xf numFmtId="0" fontId="19" fillId="6" borderId="1" xfId="0" applyFont="1" applyFill="1" applyBorder="1" applyAlignment="1" applyProtection="1">
      <alignment wrapText="1"/>
      <protection hidden="1"/>
    </xf>
    <xf numFmtId="0" fontId="0" fillId="6" borderId="1" xfId="0" applyFill="1" applyBorder="1" applyProtection="1">
      <protection hidden="1"/>
    </xf>
    <xf numFmtId="0" fontId="5" fillId="8" borderId="4" xfId="0" applyFont="1" applyFill="1" applyBorder="1" applyAlignment="1" applyProtection="1">
      <alignment horizontal="left" vertical="center"/>
      <protection hidden="1"/>
    </xf>
    <xf numFmtId="0" fontId="3" fillId="6" borderId="8" xfId="0" applyFont="1" applyFill="1" applyBorder="1" applyAlignment="1" applyProtection="1">
      <alignment horizontal="center" vertical="center"/>
      <protection hidden="1"/>
    </xf>
    <xf numFmtId="0" fontId="15" fillId="6" borderId="6" xfId="0" applyFont="1" applyFill="1" applyBorder="1" applyAlignment="1" applyProtection="1">
      <alignment horizontal="center" vertical="center"/>
      <protection hidden="1"/>
    </xf>
    <xf numFmtId="0" fontId="15" fillId="6" borderId="8" xfId="0" applyFont="1" applyFill="1" applyBorder="1" applyAlignment="1" applyProtection="1">
      <alignment horizontal="center" vertical="center"/>
      <protection hidden="1"/>
    </xf>
    <xf numFmtId="0" fontId="6" fillId="5" borderId="0" xfId="0" applyFont="1" applyFill="1" applyAlignment="1" applyProtection="1">
      <alignment horizontal="center" vertical="center" wrapText="1"/>
      <protection locked="0"/>
    </xf>
    <xf numFmtId="0" fontId="14" fillId="6" borderId="0" xfId="0" applyFont="1" applyFill="1" applyAlignment="1" applyProtection="1">
      <alignment horizontal="center"/>
      <protection hidden="1"/>
    </xf>
    <xf numFmtId="0" fontId="14" fillId="6" borderId="1" xfId="0" applyFont="1" applyFill="1" applyBorder="1" applyAlignment="1" applyProtection="1">
      <alignment horizontal="center"/>
      <protection hidden="1"/>
    </xf>
    <xf numFmtId="0" fontId="14" fillId="6" borderId="6" xfId="0" applyFont="1" applyFill="1" applyBorder="1" applyAlignment="1" applyProtection="1">
      <alignment horizontal="center"/>
      <protection hidden="1"/>
    </xf>
    <xf numFmtId="0" fontId="14" fillId="6" borderId="8" xfId="0" applyFont="1" applyFill="1" applyBorder="1" applyAlignment="1" applyProtection="1">
      <alignment horizontal="center"/>
      <protection hidden="1"/>
    </xf>
    <xf numFmtId="0" fontId="14" fillId="6" borderId="1" xfId="0" applyFont="1" applyFill="1" applyBorder="1" applyAlignment="1" applyProtection="1">
      <alignment horizontal="right" vertical="center"/>
      <protection hidden="1"/>
    </xf>
    <xf numFmtId="0" fontId="14" fillId="6" borderId="13" xfId="0" applyFont="1" applyFill="1" applyBorder="1" applyAlignment="1" applyProtection="1">
      <alignment horizontal="right" vertical="center"/>
      <protection hidden="1"/>
    </xf>
    <xf numFmtId="0" fontId="14" fillId="6" borderId="6" xfId="0" applyFont="1" applyFill="1" applyBorder="1" applyAlignment="1" applyProtection="1">
      <alignment horizontal="center" vertical="center"/>
      <protection hidden="1"/>
    </xf>
    <xf numFmtId="0" fontId="14" fillId="6" borderId="8" xfId="0" applyFont="1" applyFill="1" applyBorder="1" applyAlignment="1" applyProtection="1">
      <alignment horizontal="center" vertical="center"/>
      <protection hidden="1"/>
    </xf>
    <xf numFmtId="0" fontId="14" fillId="6" borderId="0" xfId="0" applyFont="1" applyFill="1" applyAlignment="1" applyProtection="1">
      <alignment horizontal="right" vertical="center"/>
      <protection hidden="1"/>
    </xf>
    <xf numFmtId="0" fontId="5" fillId="5" borderId="0" xfId="0" applyFont="1" applyFill="1" applyAlignment="1" applyProtection="1">
      <alignment horizontal="center" vertical="center"/>
      <protection hidden="1"/>
    </xf>
    <xf numFmtId="0" fontId="0" fillId="3" borderId="3" xfId="0" applyFill="1" applyBorder="1" applyAlignment="1" applyProtection="1">
      <alignment horizontal="center"/>
      <protection locked="0"/>
    </xf>
    <xf numFmtId="0" fontId="0" fillId="3" borderId="4" xfId="0" applyFill="1" applyBorder="1" applyAlignment="1" applyProtection="1">
      <alignment horizontal="center"/>
      <protection locked="0"/>
    </xf>
    <xf numFmtId="0" fontId="5" fillId="5" borderId="0" xfId="0" applyFont="1" applyFill="1" applyBorder="1" applyAlignment="1" applyProtection="1">
      <alignment horizontal="center" vertical="center"/>
      <protection hidden="1"/>
    </xf>
    <xf numFmtId="0" fontId="16" fillId="21" borderId="0" xfId="0" applyFont="1" applyFill="1" applyBorder="1" applyAlignment="1" applyProtection="1">
      <alignment horizontal="center" wrapText="1"/>
      <protection hidden="1"/>
    </xf>
    <xf numFmtId="0" fontId="16" fillId="21" borderId="0" xfId="0" applyFont="1" applyFill="1" applyBorder="1" applyAlignment="1" applyProtection="1">
      <alignment horizontal="center" vertical="center" wrapText="1"/>
      <protection hidden="1"/>
    </xf>
    <xf numFmtId="0" fontId="10" fillId="0" borderId="12" xfId="0" applyFont="1" applyFill="1" applyBorder="1" applyAlignment="1" applyProtection="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22860</xdr:rowOff>
        </xdr:from>
        <xdr:to>
          <xdr:col>4</xdr:col>
          <xdr:colOff>129540</xdr:colOff>
          <xdr:row>1</xdr:row>
          <xdr:rowOff>213360</xdr:rowOff>
        </xdr:to>
        <xdr:sp macro="" textlink="">
          <xdr:nvSpPr>
            <xdr:cNvPr id="1025" name="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8" tint="0.39997558519241921"/>
  </sheetPr>
  <dimension ref="A1:E6"/>
  <sheetViews>
    <sheetView workbookViewId="0">
      <selection activeCell="B9" sqref="B9"/>
    </sheetView>
  </sheetViews>
  <sheetFormatPr defaultColWidth="9.109375" defaultRowHeight="46.5" customHeight="1" x14ac:dyDescent="0.35"/>
  <cols>
    <col min="1" max="1" width="49.33203125" style="38" customWidth="1"/>
    <col min="2" max="2" width="9.109375" style="27"/>
    <col min="3" max="3" width="49.33203125" style="38" customWidth="1"/>
    <col min="4" max="4" width="9.109375" style="27"/>
    <col min="5" max="5" width="49.33203125" style="38" customWidth="1"/>
    <col min="6" max="16384" width="9.109375" style="27"/>
  </cols>
  <sheetData>
    <row r="1" spans="1:5" ht="46.5" customHeight="1" thickBot="1" x14ac:dyDescent="0.4">
      <c r="A1" s="26" t="s">
        <v>54</v>
      </c>
      <c r="C1" s="28" t="s">
        <v>55</v>
      </c>
      <c r="E1" s="29" t="s">
        <v>56</v>
      </c>
    </row>
    <row r="2" spans="1:5" ht="72.599999999999994" thickTop="1" x14ac:dyDescent="0.35">
      <c r="A2" s="30" t="s">
        <v>57</v>
      </c>
      <c r="C2" s="31" t="s">
        <v>58</v>
      </c>
      <c r="E2" s="32" t="s">
        <v>59</v>
      </c>
    </row>
    <row r="3" spans="1:5" ht="72" x14ac:dyDescent="0.35">
      <c r="A3" s="33" t="s">
        <v>60</v>
      </c>
      <c r="C3" s="34" t="s">
        <v>61</v>
      </c>
      <c r="E3" s="35" t="s">
        <v>62</v>
      </c>
    </row>
    <row r="4" spans="1:5" ht="72" x14ac:dyDescent="0.35">
      <c r="A4" s="36" t="s">
        <v>63</v>
      </c>
      <c r="C4" s="37" t="s">
        <v>64</v>
      </c>
    </row>
    <row r="5" spans="1:5" ht="36" x14ac:dyDescent="0.35">
      <c r="A5" s="33" t="s">
        <v>65</v>
      </c>
    </row>
    <row r="6" spans="1:5" ht="72" x14ac:dyDescent="0.35">
      <c r="A6" s="36" t="s">
        <v>66</v>
      </c>
    </row>
  </sheetData>
  <sheetProtection password="CA09" sheet="1" objects="1" scenarios="1" selectLockedCells="1" selectUnlockedCell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H89"/>
  <sheetViews>
    <sheetView tabSelected="1" zoomScale="70" zoomScaleNormal="70" workbookViewId="0">
      <selection activeCell="A6" sqref="A6"/>
    </sheetView>
  </sheetViews>
  <sheetFormatPr defaultColWidth="0" defaultRowHeight="20.100000000000001" customHeight="1" zeroHeight="1" x14ac:dyDescent="0.3"/>
  <cols>
    <col min="1" max="1" width="89.33203125" style="1" customWidth="1"/>
    <col min="2" max="2" width="26.5546875" style="1" customWidth="1"/>
    <col min="3" max="3" width="36.109375" style="1" customWidth="1"/>
    <col min="4" max="4" width="29.33203125" style="1" bestFit="1" customWidth="1"/>
    <col min="5" max="5" width="34.77734375" style="1" customWidth="1"/>
    <col min="6" max="6" width="28.33203125" style="3" bestFit="1" customWidth="1"/>
    <col min="7" max="7" width="27.88671875" style="3" customWidth="1"/>
    <col min="8" max="8" width="26.5546875" style="15" customWidth="1"/>
    <col min="9" max="16384" width="26.5546875" style="1" hidden="1"/>
  </cols>
  <sheetData>
    <row r="1" spans="1:8" s="12" customFormat="1" ht="14.4" x14ac:dyDescent="0.3">
      <c r="B1" s="13"/>
      <c r="C1" s="98"/>
      <c r="D1" s="98"/>
      <c r="E1" s="99"/>
    </row>
    <row r="2" spans="1:8" ht="79.5" customHeight="1" x14ac:dyDescent="0.45">
      <c r="A2" s="14" t="s">
        <v>0</v>
      </c>
      <c r="B2" s="2"/>
      <c r="C2" s="101" t="s">
        <v>75</v>
      </c>
      <c r="D2" s="101"/>
      <c r="E2" s="11"/>
      <c r="F2" s="100" t="s">
        <v>1</v>
      </c>
      <c r="G2" s="100"/>
      <c r="H2" s="87" t="s">
        <v>105</v>
      </c>
    </row>
    <row r="3" spans="1:8" ht="93.6" customHeight="1" x14ac:dyDescent="0.5">
      <c r="A3" s="25" t="s">
        <v>2</v>
      </c>
      <c r="B3" s="3"/>
      <c r="C3" s="102" t="s">
        <v>71</v>
      </c>
      <c r="D3" s="102"/>
      <c r="E3" s="2"/>
      <c r="F3" s="97" t="s">
        <v>3</v>
      </c>
      <c r="G3" s="97"/>
      <c r="H3" s="67">
        <f ca="1">'Analysis Sheet'!AA4</f>
        <v>19</v>
      </c>
    </row>
    <row r="4" spans="1:8" ht="57.6" customHeight="1" x14ac:dyDescent="0.5">
      <c r="A4" s="25" t="s">
        <v>4</v>
      </c>
      <c r="B4" s="2"/>
      <c r="C4" s="102" t="s">
        <v>72</v>
      </c>
      <c r="D4" s="102"/>
      <c r="E4" s="2"/>
      <c r="F4" s="97" t="s">
        <v>77</v>
      </c>
      <c r="G4" s="97"/>
      <c r="H4" s="70">
        <f ca="1">'Analysis Sheet'!AC4</f>
        <v>0.21590909090909091</v>
      </c>
    </row>
    <row r="5" spans="1:8" ht="129" x14ac:dyDescent="0.5">
      <c r="A5" s="25" t="s">
        <v>5</v>
      </c>
      <c r="B5" s="2"/>
      <c r="C5" s="2"/>
      <c r="D5" s="2"/>
      <c r="E5" s="81"/>
      <c r="F5" s="82"/>
      <c r="G5" s="2"/>
    </row>
    <row r="6" spans="1:8" ht="77.400000000000006" x14ac:dyDescent="0.5">
      <c r="A6" s="25" t="s">
        <v>6</v>
      </c>
      <c r="B6" s="2"/>
      <c r="C6" s="4" t="s">
        <v>7</v>
      </c>
      <c r="D6" s="6" t="s">
        <v>8</v>
      </c>
      <c r="E6" s="79" t="s">
        <v>7</v>
      </c>
      <c r="F6" s="83" t="s">
        <v>8</v>
      </c>
      <c r="G6" s="65"/>
    </row>
    <row r="7" spans="1:8" ht="20.100000000000001" customHeight="1" x14ac:dyDescent="0.35">
      <c r="A7" s="80"/>
      <c r="B7" s="2"/>
      <c r="C7" s="7" t="str">
        <f ca="1">IF('Analysis Sheet'!Y4= "0"," ",'Analysis Sheet'!X4)</f>
        <v>HOMELESS</v>
      </c>
      <c r="D7" s="9">
        <f ca="1">IF('Analysis Sheet'!Y4="0", " ",'Analysis Sheet'!Y4)</f>
        <v>1</v>
      </c>
      <c r="E7" s="8" t="str">
        <f ca="1">IF('Analysis Sheet'!Y15= "0"," ",'Analysis Sheet'!X15)</f>
        <v xml:space="preserve"> </v>
      </c>
      <c r="F7" s="9" t="str">
        <f ca="1">IF('Analysis Sheet'!Y15="0", " ",'Analysis Sheet'!Y15)</f>
        <v xml:space="preserve"> </v>
      </c>
      <c r="G7" s="2"/>
    </row>
    <row r="8" spans="1:8" ht="20.100000000000001" customHeight="1" x14ac:dyDescent="0.35">
      <c r="A8" s="80"/>
      <c r="B8" s="2"/>
      <c r="C8" s="7" t="str">
        <f ca="1">IF('Analysis Sheet'!Y5= "0"," ",'Analysis Sheet'!X5)</f>
        <v>HOUSING</v>
      </c>
      <c r="D8" s="9">
        <f ca="1">IF('Analysis Sheet'!Y5="0", " ",'Analysis Sheet'!Y5)</f>
        <v>1</v>
      </c>
      <c r="E8" s="8" t="str">
        <f ca="1">IF('Analysis Sheet'!Y16= "0"," ",'Analysis Sheet'!X16)</f>
        <v xml:space="preserve"> </v>
      </c>
      <c r="F8" s="9" t="str">
        <f ca="1">IF('Analysis Sheet'!Y16="0", " ",'Analysis Sheet'!Y16)</f>
        <v xml:space="preserve"> </v>
      </c>
      <c r="G8" s="2"/>
    </row>
    <row r="9" spans="1:8" ht="26.25" customHeight="1" x14ac:dyDescent="0.35">
      <c r="A9" s="80"/>
      <c r="B9" s="2"/>
      <c r="C9" s="7" t="str">
        <f ca="1">IF('Analysis Sheet'!Y6= "0"," ",'Analysis Sheet'!X6)</f>
        <v xml:space="preserve"> </v>
      </c>
      <c r="D9" s="9" t="str">
        <f ca="1">IF('Analysis Sheet'!Y6="0", " ",'Analysis Sheet'!Y6)</f>
        <v xml:space="preserve"> </v>
      </c>
      <c r="E9" s="8" t="str">
        <f ca="1">IF('Analysis Sheet'!Y17= "0"," ",'Analysis Sheet'!X17)</f>
        <v xml:space="preserve"> </v>
      </c>
      <c r="F9" s="9" t="str">
        <f ca="1">IF('Analysis Sheet'!Y17="0", " ",'Analysis Sheet'!Y17)</f>
        <v xml:space="preserve"> </v>
      </c>
      <c r="G9" s="2"/>
    </row>
    <row r="10" spans="1:8" ht="20.100000000000001" customHeight="1" x14ac:dyDescent="0.35">
      <c r="A10" s="80"/>
      <c r="B10" s="2"/>
      <c r="C10" s="7" t="str">
        <f ca="1">IF('Analysis Sheet'!Y7= "0"," ",'Analysis Sheet'!X7)</f>
        <v>INNOVATION</v>
      </c>
      <c r="D10" s="9">
        <f ca="1">IF('Analysis Sheet'!Y7="0", " ",'Analysis Sheet'!Y7)</f>
        <v>4</v>
      </c>
      <c r="E10" s="8" t="str">
        <f ca="1">IF('Analysis Sheet'!Y18= "0"," ",'Analysis Sheet'!X18)</f>
        <v xml:space="preserve"> </v>
      </c>
      <c r="F10" s="9" t="str">
        <f ca="1">IF('Analysis Sheet'!Y18="0", " ",'Analysis Sheet'!Y18)</f>
        <v xml:space="preserve"> </v>
      </c>
      <c r="G10" s="2"/>
    </row>
    <row r="11" spans="1:8" ht="20.100000000000001" customHeight="1" x14ac:dyDescent="0.35">
      <c r="A11" s="80"/>
      <c r="B11" s="2"/>
      <c r="C11" s="7" t="str">
        <f ca="1">IF('Analysis Sheet'!Y8= "0"," ",'Analysis Sheet'!X8)</f>
        <v>HOMELESSNESS</v>
      </c>
      <c r="D11" s="9">
        <f ca="1">IF('Analysis Sheet'!Y8="0", " ",'Analysis Sheet'!Y8)</f>
        <v>1</v>
      </c>
      <c r="E11" s="8" t="str">
        <f ca="1">IF('Analysis Sheet'!Y19= "0"," ",'Analysis Sheet'!X19)</f>
        <v xml:space="preserve"> </v>
      </c>
      <c r="F11" s="9" t="str">
        <f ca="1">IF('Analysis Sheet'!Y19="0", " ",'Analysis Sheet'!Y19)</f>
        <v xml:space="preserve"> </v>
      </c>
      <c r="G11" s="2"/>
    </row>
    <row r="12" spans="1:8" ht="20.100000000000001" customHeight="1" x14ac:dyDescent="0.35">
      <c r="A12" s="80"/>
      <c r="B12" s="2"/>
      <c r="C12" s="7" t="str">
        <f ca="1">IF('Analysis Sheet'!Y9= "0"," ",'Analysis Sheet'!X9)</f>
        <v xml:space="preserve"> </v>
      </c>
      <c r="D12" s="9" t="str">
        <f ca="1">IF('Analysis Sheet'!Y9="0", " ",'Analysis Sheet'!Y9)</f>
        <v xml:space="preserve"> </v>
      </c>
      <c r="E12" s="8" t="str">
        <f ca="1">IF('Analysis Sheet'!Y20= "0"," ",'Analysis Sheet'!X20)</f>
        <v xml:space="preserve"> </v>
      </c>
      <c r="F12" s="9" t="str">
        <f ca="1">IF('Analysis Sheet'!Y20="0", " ",'Analysis Sheet'!Y20)</f>
        <v xml:space="preserve"> </v>
      </c>
      <c r="G12" s="2"/>
    </row>
    <row r="13" spans="1:8" ht="20.100000000000001" customHeight="1" x14ac:dyDescent="0.35">
      <c r="A13" s="80"/>
      <c r="B13" s="2"/>
      <c r="C13" s="7" t="str">
        <f ca="1">IF('Analysis Sheet'!Y10= "0"," ",'Analysis Sheet'!X10)</f>
        <v xml:space="preserve"> </v>
      </c>
      <c r="D13" s="9" t="str">
        <f ca="1">IF('Analysis Sheet'!Y10="0", " ",'Analysis Sheet'!Y10)</f>
        <v xml:space="preserve"> </v>
      </c>
      <c r="E13" s="8" t="str">
        <f ca="1">IF('Analysis Sheet'!Y21= "0"," ",'Analysis Sheet'!X21)</f>
        <v xml:space="preserve"> </v>
      </c>
      <c r="F13" s="9" t="str">
        <f ca="1">IF('Analysis Sheet'!Y21="0", " ",'Analysis Sheet'!Y21)</f>
        <v xml:space="preserve"> </v>
      </c>
      <c r="G13" s="2"/>
    </row>
    <row r="14" spans="1:8" ht="20.100000000000001" customHeight="1" x14ac:dyDescent="0.35">
      <c r="A14" s="80"/>
      <c r="B14" s="2"/>
      <c r="C14" s="7" t="str">
        <f ca="1">IF('Analysis Sheet'!Y11= "0"," ",'Analysis Sheet'!X11)</f>
        <v xml:space="preserve"> </v>
      </c>
      <c r="D14" s="9" t="str">
        <f ca="1">IF('Analysis Sheet'!Y11="0", " ",'Analysis Sheet'!Y11)</f>
        <v xml:space="preserve"> </v>
      </c>
      <c r="E14" s="8" t="str">
        <f ca="1">IF('Analysis Sheet'!Y22= "0"," ",'Analysis Sheet'!X22)</f>
        <v xml:space="preserve"> </v>
      </c>
      <c r="F14" s="9" t="str">
        <f ca="1">IF('Analysis Sheet'!Y22="0", " ",'Analysis Sheet'!Y22)</f>
        <v xml:space="preserve"> </v>
      </c>
      <c r="G14" s="2"/>
    </row>
    <row r="15" spans="1:8" ht="20.100000000000001" customHeight="1" x14ac:dyDescent="0.35">
      <c r="A15" s="80"/>
      <c r="B15" s="2"/>
      <c r="C15" s="7" t="str">
        <f ca="1">IF('Analysis Sheet'!Y12= "0"," ",'Analysis Sheet'!X12)</f>
        <v xml:space="preserve"> </v>
      </c>
      <c r="D15" s="9" t="str">
        <f ca="1">IF('Analysis Sheet'!Y12="0", " ",'Analysis Sheet'!Y12)</f>
        <v xml:space="preserve"> </v>
      </c>
      <c r="E15" s="8" t="str">
        <f ca="1">IF('Analysis Sheet'!Y23= "0"," ",'Analysis Sheet'!X23)</f>
        <v xml:space="preserve"> </v>
      </c>
      <c r="F15" s="9" t="str">
        <f ca="1">IF('Analysis Sheet'!Y23="0", " ",'Analysis Sheet'!Y23)</f>
        <v xml:space="preserve"> </v>
      </c>
      <c r="G15" s="2"/>
    </row>
    <row r="16" spans="1:8" ht="20.100000000000001" customHeight="1" x14ac:dyDescent="0.35">
      <c r="A16" s="80"/>
      <c r="B16" s="2"/>
      <c r="C16" s="7" t="str">
        <f ca="1">IF('Analysis Sheet'!Y13= "0"," ",'Analysis Sheet'!X13)</f>
        <v xml:space="preserve"> </v>
      </c>
      <c r="D16" s="9" t="str">
        <f ca="1">IF('Analysis Sheet'!Y13="0", " ",'Analysis Sheet'!Y13)</f>
        <v xml:space="preserve"> </v>
      </c>
      <c r="E16" s="92" t="str">
        <f ca="1">IF(NOT(ISBLANK(F16)), "Subtotal", " ")</f>
        <v>Subtotal</v>
      </c>
      <c r="F16" s="94">
        <f ca="1">'Analysis Sheet'!Z4</f>
        <v>7</v>
      </c>
      <c r="G16" s="2"/>
    </row>
    <row r="17" spans="1:7" ht="20.100000000000001" customHeight="1" x14ac:dyDescent="0.35">
      <c r="A17" s="80"/>
      <c r="B17" s="2"/>
      <c r="C17" s="10" t="str">
        <f ca="1">IF('Analysis Sheet'!Y14= "0"," ",'Analysis Sheet'!X14)</f>
        <v xml:space="preserve"> </v>
      </c>
      <c r="D17" s="84" t="str">
        <f ca="1">IF('Analysis Sheet'!Y14="0", " ",'Analysis Sheet'!Y14)</f>
        <v xml:space="preserve"> </v>
      </c>
      <c r="E17" s="93"/>
      <c r="F17" s="95"/>
      <c r="G17" s="2"/>
    </row>
    <row r="18" spans="1:7" ht="20.100000000000001" customHeight="1" x14ac:dyDescent="0.35">
      <c r="A18" s="80"/>
      <c r="B18" s="2"/>
      <c r="C18" s="2"/>
      <c r="D18" s="2"/>
      <c r="E18" s="2"/>
      <c r="F18" s="2"/>
      <c r="G18" s="2"/>
    </row>
    <row r="19" spans="1:7" ht="20.100000000000001" customHeight="1" x14ac:dyDescent="0.35">
      <c r="A19" s="80"/>
      <c r="B19" s="2"/>
      <c r="C19" s="2"/>
      <c r="D19" s="2"/>
      <c r="E19" s="2"/>
      <c r="F19" s="2"/>
      <c r="G19" s="2"/>
    </row>
    <row r="20" spans="1:7" ht="20.100000000000001" customHeight="1" x14ac:dyDescent="0.35">
      <c r="A20" s="80"/>
      <c r="B20" s="2"/>
      <c r="C20" s="2"/>
      <c r="D20" s="2"/>
      <c r="E20" s="11"/>
      <c r="F20" s="11"/>
      <c r="G20" s="2"/>
    </row>
    <row r="21" spans="1:7" ht="22.95" customHeight="1" x14ac:dyDescent="0.35">
      <c r="A21" s="80"/>
      <c r="B21" s="2"/>
      <c r="C21" s="11"/>
      <c r="D21" s="3"/>
      <c r="E21" s="59"/>
      <c r="F21" s="59"/>
      <c r="G21" s="2"/>
    </row>
    <row r="22" spans="1:7" ht="20.100000000000001" customHeight="1" x14ac:dyDescent="0.35">
      <c r="A22" s="80"/>
      <c r="B22" s="2"/>
      <c r="C22" s="11"/>
      <c r="D22" s="11"/>
      <c r="E22" s="11"/>
      <c r="F22" s="2"/>
      <c r="G22" s="2"/>
    </row>
    <row r="23" spans="1:7" ht="102" customHeight="1" x14ac:dyDescent="0.3">
      <c r="A23" s="14" t="s">
        <v>9</v>
      </c>
      <c r="B23" s="2"/>
      <c r="C23" s="2"/>
      <c r="D23" s="2"/>
      <c r="E23" s="2"/>
      <c r="F23" s="2"/>
      <c r="G23" s="2"/>
    </row>
    <row r="24" spans="1:7" ht="103.2" x14ac:dyDescent="0.5">
      <c r="A24" s="25" t="s">
        <v>10</v>
      </c>
      <c r="B24" s="2"/>
      <c r="C24" s="4" t="s">
        <v>7</v>
      </c>
      <c r="D24" s="6" t="s">
        <v>8</v>
      </c>
      <c r="E24" s="5" t="s">
        <v>7</v>
      </c>
      <c r="F24" s="6" t="s">
        <v>8</v>
      </c>
      <c r="G24" s="2"/>
    </row>
    <row r="25" spans="1:7" ht="77.400000000000006" x14ac:dyDescent="0.5">
      <c r="A25" s="25" t="s">
        <v>11</v>
      </c>
      <c r="B25" s="2"/>
      <c r="C25" s="7" t="str">
        <f ca="1">IF('Analysis Sheet'!Y24="0", " ", 'Analysis Sheet'!X24)</f>
        <v>HEALTH</v>
      </c>
      <c r="D25" s="9">
        <f ca="1">IF('Analysis Sheet'!Y24="0", " ",'Analysis Sheet'!Y24)</f>
        <v>1</v>
      </c>
      <c r="E25" s="8" t="str">
        <f ca="1">IF('Analysis Sheet'!Y35="0", " ", 'Analysis Sheet'!X35)</f>
        <v xml:space="preserve"> </v>
      </c>
      <c r="F25" s="9" t="str">
        <f ca="1">IF('Analysis Sheet'!Y35="0", " ",'Analysis Sheet'!Y35)</f>
        <v xml:space="preserve"> </v>
      </c>
      <c r="G25" s="2"/>
    </row>
    <row r="26" spans="1:7" ht="154.80000000000001" x14ac:dyDescent="0.5">
      <c r="A26" s="25" t="s">
        <v>12</v>
      </c>
      <c r="B26" s="2"/>
      <c r="C26" s="7" t="str">
        <f ca="1">IF('Analysis Sheet'!Y25="0", " ", 'Analysis Sheet'!X25)</f>
        <v>HOMELESS</v>
      </c>
      <c r="D26" s="9">
        <f ca="1">IF('Analysis Sheet'!Y25="0", " ",'Analysis Sheet'!Y25)</f>
        <v>1</v>
      </c>
      <c r="E26" s="8" t="str">
        <f ca="1">IF('Analysis Sheet'!Y36="0", " ", 'Analysis Sheet'!X36)</f>
        <v xml:space="preserve"> </v>
      </c>
      <c r="F26" s="9" t="str">
        <f ca="1">IF('Analysis Sheet'!Y36="0", " ",'Analysis Sheet'!Y36)</f>
        <v xml:space="preserve"> </v>
      </c>
      <c r="G26" s="2"/>
    </row>
    <row r="27" spans="1:7" ht="77.400000000000006" x14ac:dyDescent="0.5">
      <c r="A27" s="25" t="s">
        <v>13</v>
      </c>
      <c r="B27" s="2"/>
      <c r="C27" s="7" t="str">
        <f ca="1">IF('Analysis Sheet'!Y26="0", " ", 'Analysis Sheet'!X26)</f>
        <v xml:space="preserve"> </v>
      </c>
      <c r="D27" s="9" t="str">
        <f ca="1">IF('Analysis Sheet'!Y26="0", " ",'Analysis Sheet'!Y26)</f>
        <v xml:space="preserve"> </v>
      </c>
      <c r="E27" s="8" t="str">
        <f ca="1">IF('Analysis Sheet'!Y37="0", " ", 'Analysis Sheet'!X37)</f>
        <v xml:space="preserve"> </v>
      </c>
      <c r="F27" s="9" t="str">
        <f ca="1">IF('Analysis Sheet'!Y37="0", " ",'Analysis Sheet'!Y37)</f>
        <v xml:space="preserve"> </v>
      </c>
      <c r="G27" s="2"/>
    </row>
    <row r="28" spans="1:7" ht="51.6" x14ac:dyDescent="0.5">
      <c r="A28" s="25" t="s">
        <v>14</v>
      </c>
      <c r="B28" s="2"/>
      <c r="C28" s="7" t="str">
        <f ca="1">IF('Analysis Sheet'!Y27="0", " ", 'Analysis Sheet'!X27)</f>
        <v>HOUSING</v>
      </c>
      <c r="D28" s="9">
        <f ca="1">IF('Analysis Sheet'!Y27="0", " ",'Analysis Sheet'!Y27)</f>
        <v>1</v>
      </c>
      <c r="E28" s="8" t="str">
        <f ca="1">IF('Analysis Sheet'!Y38="0", " ", 'Analysis Sheet'!X38)</f>
        <v xml:space="preserve"> </v>
      </c>
      <c r="F28" s="9" t="str">
        <f ca="1">IF('Analysis Sheet'!Y38="0", " ",'Analysis Sheet'!Y38)</f>
        <v xml:space="preserve"> </v>
      </c>
      <c r="G28" s="2"/>
    </row>
    <row r="29" spans="1:7" ht="21" x14ac:dyDescent="0.35">
      <c r="A29" s="80"/>
      <c r="B29" s="2"/>
      <c r="C29" s="7" t="str">
        <f ca="1">IF('Analysis Sheet'!Y28="0", " ", 'Analysis Sheet'!X28)</f>
        <v xml:space="preserve"> </v>
      </c>
      <c r="D29" s="9" t="str">
        <f ca="1">IF('Analysis Sheet'!Y28="0", " ",'Analysis Sheet'!Y28)</f>
        <v xml:space="preserve"> </v>
      </c>
      <c r="E29" s="8" t="str">
        <f ca="1">IF('Analysis Sheet'!Y39="0", " ", 'Analysis Sheet'!X39)</f>
        <v xml:space="preserve"> </v>
      </c>
      <c r="F29" s="9" t="str">
        <f ca="1">IF('Analysis Sheet'!Y39="0", " ",'Analysis Sheet'!Y39)</f>
        <v xml:space="preserve"> </v>
      </c>
      <c r="G29" s="2"/>
    </row>
    <row r="30" spans="1:7" ht="30.75" customHeight="1" x14ac:dyDescent="0.35">
      <c r="A30" s="80"/>
      <c r="B30" s="2"/>
      <c r="C30" s="7" t="str">
        <f ca="1">IF('Analysis Sheet'!Y29="0", " ", 'Analysis Sheet'!X29)</f>
        <v xml:space="preserve"> </v>
      </c>
      <c r="D30" s="9" t="str">
        <f ca="1">IF('Analysis Sheet'!Y29="0", " ",'Analysis Sheet'!Y29)</f>
        <v xml:space="preserve"> </v>
      </c>
      <c r="E30" s="8" t="str">
        <f ca="1">IF('Analysis Sheet'!Y40="0", " ", 'Analysis Sheet'!X40)</f>
        <v xml:space="preserve"> </v>
      </c>
      <c r="F30" s="9" t="str">
        <f ca="1">IF('Analysis Sheet'!Y40="0", " ",'Analysis Sheet'!Y40)</f>
        <v xml:space="preserve"> </v>
      </c>
      <c r="G30" s="2"/>
    </row>
    <row r="31" spans="1:7" ht="20.100000000000001" customHeight="1" x14ac:dyDescent="0.35">
      <c r="A31" s="80"/>
      <c r="B31" s="2"/>
      <c r="C31" s="7" t="str">
        <f ca="1">IF('Analysis Sheet'!Y30="0", " ", 'Analysis Sheet'!X30)</f>
        <v xml:space="preserve"> </v>
      </c>
      <c r="D31" s="9" t="str">
        <f ca="1">IF('Analysis Sheet'!Y30="0", " ",'Analysis Sheet'!Y30)</f>
        <v xml:space="preserve"> </v>
      </c>
      <c r="E31" s="8" t="str">
        <f ca="1">IF('Analysis Sheet'!Y41="0", " ", 'Analysis Sheet'!X41)</f>
        <v xml:space="preserve"> </v>
      </c>
      <c r="F31" s="9" t="str">
        <f ca="1">IF('Analysis Sheet'!Y41="0", " ",'Analysis Sheet'!Y41)</f>
        <v xml:space="preserve"> </v>
      </c>
      <c r="G31" s="2"/>
    </row>
    <row r="32" spans="1:7" ht="20.100000000000001" customHeight="1" x14ac:dyDescent="0.35">
      <c r="A32" s="80"/>
      <c r="B32" s="2"/>
      <c r="C32" s="7" t="str">
        <f ca="1">IF('Analysis Sheet'!Y31="0", " ", 'Analysis Sheet'!X31)</f>
        <v xml:space="preserve"> </v>
      </c>
      <c r="D32" s="9" t="str">
        <f ca="1">IF('Analysis Sheet'!Y31="0", " ",'Analysis Sheet'!Y31)</f>
        <v xml:space="preserve"> </v>
      </c>
      <c r="E32" s="8" t="str">
        <f ca="1">IF('Analysis Sheet'!Y42="0", " ", 'Analysis Sheet'!X42)</f>
        <v xml:space="preserve"> </v>
      </c>
      <c r="F32" s="9" t="str">
        <f ca="1">IF('Analysis Sheet'!Y42="0", " ",'Analysis Sheet'!Y42)</f>
        <v xml:space="preserve"> </v>
      </c>
      <c r="G32" s="2"/>
    </row>
    <row r="33" spans="1:7" ht="20.100000000000001" customHeight="1" x14ac:dyDescent="0.35">
      <c r="A33" s="80"/>
      <c r="B33" s="2"/>
      <c r="C33" s="7" t="str">
        <f ca="1">IF('Analysis Sheet'!Y32="0", " ", 'Analysis Sheet'!X32)</f>
        <v xml:space="preserve"> </v>
      </c>
      <c r="D33" s="9" t="str">
        <f ca="1">IF('Analysis Sheet'!Y32="0", " ",'Analysis Sheet'!Y32)</f>
        <v xml:space="preserve"> </v>
      </c>
      <c r="E33" s="8" t="str">
        <f ca="1">IF('Analysis Sheet'!Y43="0", " ", 'Analysis Sheet'!X43)</f>
        <v xml:space="preserve"> </v>
      </c>
      <c r="F33" s="9" t="str">
        <f ca="1">IF('Analysis Sheet'!Y43="0", " ",'Analysis Sheet'!Y43)</f>
        <v xml:space="preserve"> </v>
      </c>
      <c r="G33" s="2"/>
    </row>
    <row r="34" spans="1:7" ht="20.100000000000001" customHeight="1" x14ac:dyDescent="0.35">
      <c r="A34" s="80"/>
      <c r="B34" s="2"/>
      <c r="C34" s="7" t="str">
        <f ca="1">IF('Analysis Sheet'!Y33="0", " ", 'Analysis Sheet'!X33)</f>
        <v xml:space="preserve"> </v>
      </c>
      <c r="D34" s="85"/>
      <c r="E34" s="96" t="str">
        <f ca="1">IF(NOT(ISBLANK(F34)), "Subtotal", " ")</f>
        <v>Subtotal</v>
      </c>
      <c r="F34" s="94">
        <f ca="1">'Analysis Sheet'!Z24</f>
        <v>3</v>
      </c>
      <c r="G34" s="2"/>
    </row>
    <row r="35" spans="1:7" ht="20.100000000000001" customHeight="1" x14ac:dyDescent="0.35">
      <c r="A35" s="80"/>
      <c r="B35" s="2"/>
      <c r="C35" s="10" t="str">
        <f ca="1">IF('Analysis Sheet'!Y34="0", " ", 'Analysis Sheet'!X34)</f>
        <v xml:space="preserve"> </v>
      </c>
      <c r="D35" s="86"/>
      <c r="E35" s="92"/>
      <c r="F35" s="95"/>
      <c r="G35" s="2"/>
    </row>
    <row r="36" spans="1:7" ht="20.100000000000001" customHeight="1" x14ac:dyDescent="0.35">
      <c r="A36" s="80"/>
      <c r="B36" s="2"/>
      <c r="C36" s="2"/>
      <c r="D36" s="2"/>
      <c r="E36" s="2"/>
      <c r="F36" s="2"/>
      <c r="G36" s="2"/>
    </row>
    <row r="37" spans="1:7" ht="20.100000000000001" customHeight="1" x14ac:dyDescent="0.35">
      <c r="A37" s="80"/>
      <c r="B37" s="2"/>
      <c r="C37" s="2"/>
      <c r="D37" s="2"/>
      <c r="E37" s="2"/>
      <c r="F37" s="2"/>
      <c r="G37" s="2"/>
    </row>
    <row r="38" spans="1:7" ht="20.100000000000001" customHeight="1" x14ac:dyDescent="0.35">
      <c r="A38" s="80"/>
      <c r="B38" s="2"/>
      <c r="C38" s="2"/>
      <c r="D38" s="2"/>
      <c r="E38" s="2"/>
      <c r="F38" s="2"/>
      <c r="G38" s="2"/>
    </row>
    <row r="39" spans="1:7" ht="20.100000000000001" customHeight="1" x14ac:dyDescent="0.35">
      <c r="A39" s="80"/>
      <c r="B39" s="2"/>
      <c r="C39" s="2"/>
      <c r="D39" s="2"/>
      <c r="E39" s="2"/>
      <c r="F39" s="2"/>
      <c r="G39" s="2"/>
    </row>
    <row r="40" spans="1:7" ht="20.100000000000001" customHeight="1" x14ac:dyDescent="0.35">
      <c r="A40" s="80"/>
      <c r="B40" s="2"/>
      <c r="C40" s="11"/>
      <c r="D40" s="11"/>
      <c r="E40" s="11"/>
      <c r="F40" s="2"/>
      <c r="G40" s="2"/>
    </row>
    <row r="41" spans="1:7" ht="20.100000000000001" customHeight="1" x14ac:dyDescent="0.35">
      <c r="A41" s="80"/>
      <c r="B41" s="2"/>
      <c r="C41" s="11"/>
      <c r="D41" s="11"/>
      <c r="E41" s="11"/>
      <c r="F41" s="2"/>
      <c r="G41" s="2"/>
    </row>
    <row r="42" spans="1:7" ht="20.100000000000001" customHeight="1" x14ac:dyDescent="0.35">
      <c r="A42" s="80"/>
      <c r="B42" s="2"/>
      <c r="C42" s="11"/>
      <c r="D42" s="11"/>
      <c r="E42" s="11"/>
      <c r="F42" s="2"/>
      <c r="G42" s="2"/>
    </row>
    <row r="43" spans="1:7" ht="20.100000000000001" customHeight="1" x14ac:dyDescent="0.35">
      <c r="A43" s="80"/>
      <c r="B43" s="2"/>
      <c r="C43" s="2"/>
      <c r="D43" s="2"/>
      <c r="E43" s="2"/>
      <c r="F43" s="2"/>
      <c r="G43" s="2"/>
    </row>
    <row r="44" spans="1:7" ht="67.5" customHeight="1" x14ac:dyDescent="0.3">
      <c r="A44" s="14" t="s">
        <v>15</v>
      </c>
      <c r="B44" s="2"/>
      <c r="C44" s="2"/>
      <c r="D44" s="2"/>
      <c r="E44" s="2"/>
      <c r="F44" s="2"/>
      <c r="G44" s="2"/>
    </row>
    <row r="45" spans="1:7" ht="51.6" x14ac:dyDescent="0.5">
      <c r="A45" s="25" t="s">
        <v>16</v>
      </c>
      <c r="B45" s="2"/>
      <c r="C45" s="2"/>
      <c r="D45" s="2"/>
      <c r="E45" s="2"/>
      <c r="F45" s="2"/>
      <c r="G45" s="2"/>
    </row>
    <row r="46" spans="1:7" ht="51.6" x14ac:dyDescent="0.5">
      <c r="A46" s="25" t="s">
        <v>17</v>
      </c>
      <c r="B46" s="2"/>
      <c r="C46" s="2"/>
      <c r="D46" s="2"/>
      <c r="E46" s="2"/>
      <c r="F46" s="2"/>
      <c r="G46" s="2"/>
    </row>
    <row r="47" spans="1:7" ht="51.6" x14ac:dyDescent="0.5">
      <c r="A47" s="25" t="s">
        <v>18</v>
      </c>
      <c r="B47" s="2"/>
      <c r="C47" s="4" t="s">
        <v>7</v>
      </c>
      <c r="D47" s="6" t="s">
        <v>8</v>
      </c>
      <c r="E47" s="5" t="s">
        <v>7</v>
      </c>
      <c r="F47" s="6" t="s">
        <v>8</v>
      </c>
      <c r="G47" s="2"/>
    </row>
    <row r="48" spans="1:7" ht="103.2" x14ac:dyDescent="0.5">
      <c r="A48" s="25" t="s">
        <v>19</v>
      </c>
      <c r="B48" s="2"/>
      <c r="C48" s="7" t="str">
        <f ca="1">IF('Analysis Sheet'!Y44="0", " ", 'Analysis Sheet'!X44)</f>
        <v>INNOVATION</v>
      </c>
      <c r="D48" s="9">
        <f ca="1">IF('Analysis Sheet'!Y44="0", " ",'Analysis Sheet'!Y44)</f>
        <v>4</v>
      </c>
      <c r="E48" s="8" t="str">
        <f ca="1">IF('Analysis Sheet'!Y55="0", " ", 'Analysis Sheet'!X55)</f>
        <v xml:space="preserve"> </v>
      </c>
      <c r="F48" s="9" t="str">
        <f ca="1">IF('Analysis Sheet'!Y55="0", " ",'Analysis Sheet'!Y55)</f>
        <v xml:space="preserve"> </v>
      </c>
      <c r="G48" s="2"/>
    </row>
    <row r="49" spans="1:7" ht="20.100000000000001" customHeight="1" x14ac:dyDescent="0.5">
      <c r="A49" s="25" t="s">
        <v>20</v>
      </c>
      <c r="B49" s="2"/>
      <c r="C49" s="7" t="str">
        <f ca="1">IF('Analysis Sheet'!Y45="0", " ", 'Analysis Sheet'!X45)</f>
        <v xml:space="preserve"> </v>
      </c>
      <c r="D49" s="9" t="str">
        <f ca="1">IF('Analysis Sheet'!Y45="0", " ",'Analysis Sheet'!Y45)</f>
        <v xml:space="preserve"> </v>
      </c>
      <c r="E49" s="8" t="str">
        <f ca="1">IF('Analysis Sheet'!Y56="0", " ", 'Analysis Sheet'!X56)</f>
        <v xml:space="preserve"> </v>
      </c>
      <c r="F49" s="9" t="str">
        <f ca="1">IF('Analysis Sheet'!Y56="0", " ",'Analysis Sheet'!Y56)</f>
        <v xml:space="preserve"> </v>
      </c>
      <c r="G49" s="2"/>
    </row>
    <row r="50" spans="1:7" ht="103.2" x14ac:dyDescent="0.5">
      <c r="A50" s="25" t="s">
        <v>21</v>
      </c>
      <c r="B50" s="2"/>
      <c r="C50" s="7" t="str">
        <f ca="1">IF('Analysis Sheet'!Y46="0", " ", 'Analysis Sheet'!X46)</f>
        <v>LOCAL</v>
      </c>
      <c r="D50" s="9">
        <f ca="1">IF('Analysis Sheet'!Y46="0", " ",'Analysis Sheet'!Y46)</f>
        <v>5</v>
      </c>
      <c r="E50" s="8" t="str">
        <f ca="1">IF('Analysis Sheet'!Y57="0", " ", 'Analysis Sheet'!X57)</f>
        <v xml:space="preserve"> </v>
      </c>
      <c r="F50" s="9" t="str">
        <f ca="1">IF('Analysis Sheet'!Y57="0", " ",'Analysis Sheet'!Y57)</f>
        <v xml:space="preserve"> </v>
      </c>
      <c r="G50" s="2"/>
    </row>
    <row r="51" spans="1:7" ht="77.400000000000006" x14ac:dyDescent="0.5">
      <c r="A51" s="25" t="s">
        <v>22</v>
      </c>
      <c r="B51" s="2"/>
      <c r="C51" s="7" t="str">
        <f ca="1">IF('Analysis Sheet'!Y47="0", " ", 'Analysis Sheet'!X47)</f>
        <v xml:space="preserve"> </v>
      </c>
      <c r="D51" s="9" t="str">
        <f ca="1">IF('Analysis Sheet'!Y47="0", " ",'Analysis Sheet'!Y47)</f>
        <v xml:space="preserve"> </v>
      </c>
      <c r="E51" s="8" t="str">
        <f ca="1">IF('Analysis Sheet'!Y58="0", " ", 'Analysis Sheet'!X58)</f>
        <v xml:space="preserve"> </v>
      </c>
      <c r="F51" s="9" t="str">
        <f ca="1">IF('Analysis Sheet'!Y58="0", " ",'Analysis Sheet'!Y58)</f>
        <v xml:space="preserve"> </v>
      </c>
      <c r="G51" s="2"/>
    </row>
    <row r="52" spans="1:7" ht="51.6" x14ac:dyDescent="0.5">
      <c r="A52" s="25" t="s">
        <v>23</v>
      </c>
      <c r="B52" s="2"/>
      <c r="C52" s="7" t="str">
        <f ca="1">IF('Analysis Sheet'!Y48="0", " ", 'Analysis Sheet'!X48)</f>
        <v xml:space="preserve"> </v>
      </c>
      <c r="D52" s="9" t="str">
        <f ca="1">IF('Analysis Sheet'!Y48="0", " ",'Analysis Sheet'!Y48)</f>
        <v xml:space="preserve"> </v>
      </c>
      <c r="E52" s="8" t="str">
        <f ca="1">IF('Analysis Sheet'!Y59="0", " ", 'Analysis Sheet'!X59)</f>
        <v xml:space="preserve"> </v>
      </c>
      <c r="F52" s="9" t="str">
        <f ca="1">IF('Analysis Sheet'!Y59="0", " ",'Analysis Sheet'!Y59)</f>
        <v xml:space="preserve"> </v>
      </c>
      <c r="G52" s="2"/>
    </row>
    <row r="53" spans="1:7" ht="21" x14ac:dyDescent="0.3">
      <c r="B53" s="2"/>
      <c r="C53" s="7" t="str">
        <f ca="1">IF('Analysis Sheet'!Y49="0", " ", 'Analysis Sheet'!X49)</f>
        <v xml:space="preserve"> </v>
      </c>
      <c r="D53" s="9" t="str">
        <f ca="1">IF('Analysis Sheet'!Y49="0", " ",'Analysis Sheet'!Y49)</f>
        <v xml:space="preserve"> </v>
      </c>
      <c r="E53" s="8" t="str">
        <f ca="1">IF('Analysis Sheet'!Y60="0", " ", 'Analysis Sheet'!X60)</f>
        <v xml:space="preserve"> </v>
      </c>
      <c r="F53" s="9" t="str">
        <f ca="1">IF('Analysis Sheet'!Y60="0", " ",'Analysis Sheet'!Y60)</f>
        <v xml:space="preserve"> </v>
      </c>
      <c r="G53" s="2"/>
    </row>
    <row r="54" spans="1:7" ht="21" x14ac:dyDescent="0.3">
      <c r="B54" s="2"/>
      <c r="C54" s="7" t="str">
        <f ca="1">IF('Analysis Sheet'!Y50="0", " ", 'Analysis Sheet'!X50)</f>
        <v xml:space="preserve"> </v>
      </c>
      <c r="D54" s="9" t="str">
        <f ca="1">IF('Analysis Sheet'!Y50="0", " ",'Analysis Sheet'!Y50)</f>
        <v xml:space="preserve"> </v>
      </c>
      <c r="E54" s="8" t="str">
        <f ca="1">IF('Analysis Sheet'!Y61="0", " ", 'Analysis Sheet'!X61)</f>
        <v xml:space="preserve"> </v>
      </c>
      <c r="F54" s="9" t="str">
        <f ca="1">IF('Analysis Sheet'!Y61="0", " ",'Analysis Sheet'!Y61)</f>
        <v xml:space="preserve"> </v>
      </c>
      <c r="G54" s="2"/>
    </row>
    <row r="55" spans="1:7" ht="20.100000000000001" customHeight="1" x14ac:dyDescent="0.35">
      <c r="A55" s="80"/>
      <c r="B55" s="2"/>
      <c r="C55" s="7" t="str">
        <f ca="1">IF('Analysis Sheet'!Y51="0", " ", 'Analysis Sheet'!X51)</f>
        <v xml:space="preserve"> </v>
      </c>
      <c r="D55" s="9" t="str">
        <f ca="1">IF('Analysis Sheet'!Y51="0", " ",'Analysis Sheet'!Y51)</f>
        <v xml:space="preserve"> </v>
      </c>
      <c r="E55" s="8" t="str">
        <f ca="1">IF('Analysis Sheet'!Y62="0", " ", 'Analysis Sheet'!X62)</f>
        <v xml:space="preserve"> </v>
      </c>
      <c r="F55" s="9" t="str">
        <f ca="1">IF('Analysis Sheet'!Y62="0", " ",'Analysis Sheet'!Y62)</f>
        <v xml:space="preserve"> </v>
      </c>
      <c r="G55" s="2"/>
    </row>
    <row r="56" spans="1:7" ht="20.100000000000001" customHeight="1" x14ac:dyDescent="0.35">
      <c r="A56" s="80"/>
      <c r="B56" s="2"/>
      <c r="C56" s="7" t="str">
        <f ca="1">IF('Analysis Sheet'!Y52="0", " ", 'Analysis Sheet'!X52)</f>
        <v xml:space="preserve"> </v>
      </c>
      <c r="D56" s="9" t="str">
        <f ca="1">IF('Analysis Sheet'!Y52="0", " ",'Analysis Sheet'!Y52)</f>
        <v xml:space="preserve"> </v>
      </c>
      <c r="E56" s="8" t="str">
        <f ca="1">IF('Analysis Sheet'!Y63="0", " ", 'Analysis Sheet'!X63)</f>
        <v xml:space="preserve"> </v>
      </c>
      <c r="F56" s="9" t="str">
        <f ca="1">IF('Analysis Sheet'!Y63="0", " ",'Analysis Sheet'!Y63)</f>
        <v xml:space="preserve"> </v>
      </c>
      <c r="G56" s="2"/>
    </row>
    <row r="57" spans="1:7" ht="20.100000000000001" customHeight="1" x14ac:dyDescent="0.35">
      <c r="A57" s="80"/>
      <c r="B57" s="2"/>
      <c r="C57" s="7" t="str">
        <f ca="1">IF('Analysis Sheet'!Y53="0", " ", 'Analysis Sheet'!X53)</f>
        <v xml:space="preserve"> </v>
      </c>
      <c r="D57" s="9" t="str">
        <f ca="1">IF('Analysis Sheet'!Y53="0", " ",'Analysis Sheet'!Y53)</f>
        <v xml:space="preserve"> </v>
      </c>
      <c r="E57" s="8" t="str">
        <f ca="1">IF('Analysis Sheet'!Y64="0", " ", 'Analysis Sheet'!X64)</f>
        <v xml:space="preserve"> </v>
      </c>
      <c r="F57" s="9" t="str">
        <f ca="1">IF('Analysis Sheet'!Y64="0", " ",'Analysis Sheet'!Y64)</f>
        <v xml:space="preserve"> </v>
      </c>
      <c r="G57" s="2"/>
    </row>
    <row r="58" spans="1:7" ht="20.100000000000001" customHeight="1" x14ac:dyDescent="0.4">
      <c r="A58" s="80"/>
      <c r="B58" s="2"/>
      <c r="C58" s="10" t="str">
        <f ca="1">IF('Analysis Sheet'!Y54="0", " ", 'Analysis Sheet'!X54)</f>
        <v xml:space="preserve"> </v>
      </c>
      <c r="D58" s="84" t="str">
        <f ca="1">IF('Analysis Sheet'!Y54="0", " ",'Analysis Sheet'!Y54)</f>
        <v xml:space="preserve"> </v>
      </c>
      <c r="E58" s="74" t="str">
        <f ca="1">IF(NOT(ISBLANK(F58)), "Subtotal", " ")</f>
        <v>Subtotal</v>
      </c>
      <c r="F58" s="75">
        <f ca="1">'Analysis Sheet'!Z44</f>
        <v>9</v>
      </c>
      <c r="G58" s="2"/>
    </row>
    <row r="59" spans="1:7" ht="20.100000000000001" customHeight="1" x14ac:dyDescent="0.35">
      <c r="A59" s="80"/>
      <c r="B59" s="2"/>
      <c r="C59" s="2"/>
      <c r="D59" s="2"/>
      <c r="E59" s="2"/>
      <c r="F59" s="2"/>
      <c r="G59" s="2"/>
    </row>
    <row r="60" spans="1:7" ht="20.100000000000001" customHeight="1" x14ac:dyDescent="0.35">
      <c r="A60" s="80"/>
      <c r="B60" s="2"/>
      <c r="C60" s="2"/>
      <c r="D60" s="2"/>
      <c r="E60" s="2"/>
      <c r="F60" s="2"/>
      <c r="G60" s="2"/>
    </row>
    <row r="61" spans="1:7" ht="20.100000000000001" customHeight="1" x14ac:dyDescent="0.35">
      <c r="A61" s="80"/>
      <c r="B61" s="2"/>
      <c r="C61" s="11"/>
      <c r="D61" s="11"/>
      <c r="E61" s="11"/>
      <c r="F61" s="2"/>
      <c r="G61" s="2"/>
    </row>
    <row r="62" spans="1:7" ht="20.100000000000001" customHeight="1" x14ac:dyDescent="0.35">
      <c r="A62" s="80"/>
      <c r="B62" s="2"/>
      <c r="C62" s="11"/>
      <c r="D62" s="11"/>
      <c r="E62" s="11"/>
      <c r="F62" s="2"/>
      <c r="G62" s="2"/>
    </row>
    <row r="63" spans="1:7" ht="20.100000000000001" customHeight="1" x14ac:dyDescent="0.35">
      <c r="A63" s="80"/>
      <c r="B63" s="2"/>
      <c r="C63" s="11"/>
      <c r="D63" s="11"/>
      <c r="E63" s="11"/>
      <c r="F63" s="2"/>
      <c r="G63" s="2"/>
    </row>
    <row r="64" spans="1:7" ht="20.100000000000001" customHeight="1" x14ac:dyDescent="0.35">
      <c r="A64" s="80"/>
      <c r="B64" s="2"/>
      <c r="C64" s="2"/>
      <c r="D64" s="2"/>
      <c r="E64" s="2"/>
      <c r="F64" s="2"/>
      <c r="G64" s="2"/>
    </row>
    <row r="65" spans="1:7" ht="63.75" customHeight="1" x14ac:dyDescent="0.3">
      <c r="A65" s="14" t="s">
        <v>24</v>
      </c>
      <c r="B65" s="2"/>
      <c r="C65" s="2"/>
      <c r="D65" s="2"/>
      <c r="E65" s="2"/>
      <c r="F65" s="2"/>
      <c r="G65" s="2"/>
    </row>
    <row r="66" spans="1:7" ht="103.2" x14ac:dyDescent="0.5">
      <c r="A66" s="25" t="s">
        <v>25</v>
      </c>
      <c r="B66" s="2"/>
      <c r="C66" s="2"/>
      <c r="D66" s="2"/>
      <c r="E66" s="2"/>
      <c r="F66" s="2"/>
      <c r="G66" s="2"/>
    </row>
    <row r="67" spans="1:7" ht="51.6" x14ac:dyDescent="0.5">
      <c r="A67" s="25" t="s">
        <v>26</v>
      </c>
      <c r="B67" s="2"/>
      <c r="C67" s="2"/>
      <c r="D67" s="2"/>
      <c r="E67" s="2"/>
      <c r="F67" s="2"/>
      <c r="G67" s="2"/>
    </row>
    <row r="68" spans="1:7" ht="77.400000000000006" x14ac:dyDescent="0.5">
      <c r="A68" s="25" t="s">
        <v>27</v>
      </c>
      <c r="B68" s="2"/>
      <c r="C68" s="4" t="s">
        <v>7</v>
      </c>
      <c r="D68" s="6" t="s">
        <v>8</v>
      </c>
      <c r="E68" s="5" t="s">
        <v>7</v>
      </c>
      <c r="F68" s="6" t="s">
        <v>8</v>
      </c>
      <c r="G68" s="2"/>
    </row>
    <row r="69" spans="1:7" ht="51.6" x14ac:dyDescent="0.5">
      <c r="A69" s="25" t="s">
        <v>28</v>
      </c>
      <c r="B69" s="2"/>
      <c r="C69" s="7" t="str">
        <f ca="1">IF('Analysis Sheet'!Y64="0", " ", 'Analysis Sheet'!X64)</f>
        <v xml:space="preserve"> </v>
      </c>
      <c r="D69" s="9" t="str">
        <f ca="1">IF('Analysis Sheet'!Y64="0", " ",'Analysis Sheet'!Y64)</f>
        <v xml:space="preserve"> </v>
      </c>
      <c r="E69" s="8" t="str">
        <f ca="1">IF('Analysis Sheet'!Y75="0", " ", 'Analysis Sheet'!X75)</f>
        <v xml:space="preserve"> </v>
      </c>
      <c r="F69" s="9" t="str">
        <f ca="1">IF('Analysis Sheet'!Y75="0", " ",'Analysis Sheet'!Y75)</f>
        <v xml:space="preserve"> </v>
      </c>
      <c r="G69" s="2"/>
    </row>
    <row r="70" spans="1:7" ht="20.100000000000001" customHeight="1" x14ac:dyDescent="0.35">
      <c r="A70" s="80"/>
      <c r="B70" s="2"/>
      <c r="C70" s="7" t="str">
        <f ca="1">IF('Analysis Sheet'!Y65="0", " ", 'Analysis Sheet'!X65)</f>
        <v xml:space="preserve"> </v>
      </c>
      <c r="D70" s="9" t="str">
        <f ca="1">IF('Analysis Sheet'!Y65="0", " ",'Analysis Sheet'!Y65)</f>
        <v xml:space="preserve"> </v>
      </c>
      <c r="E70" s="8" t="str">
        <f ca="1">IF('Analysis Sheet'!Y76="0", " ", 'Analysis Sheet'!X76)</f>
        <v xml:space="preserve"> </v>
      </c>
      <c r="F70" s="9" t="str">
        <f ca="1">IF('Analysis Sheet'!Y76="0", " ",'Analysis Sheet'!Y76)</f>
        <v xml:space="preserve"> </v>
      </c>
      <c r="G70" s="2"/>
    </row>
    <row r="71" spans="1:7" ht="20.100000000000001" customHeight="1" x14ac:dyDescent="0.35">
      <c r="A71" s="80"/>
      <c r="B71" s="2"/>
      <c r="C71" s="7" t="str">
        <f ca="1">IF('Analysis Sheet'!Y66="0", " ", 'Analysis Sheet'!X66)</f>
        <v xml:space="preserve"> </v>
      </c>
      <c r="D71" s="9" t="str">
        <f ca="1">IF('Analysis Sheet'!Y66="0", " ",'Analysis Sheet'!Y66)</f>
        <v xml:space="preserve"> </v>
      </c>
      <c r="E71" s="8" t="str">
        <f ca="1">IF('Analysis Sheet'!Y77="0", " ", 'Analysis Sheet'!X77)</f>
        <v xml:space="preserve"> </v>
      </c>
      <c r="F71" s="9" t="str">
        <f ca="1">IF('Analysis Sheet'!Y77="0", " ",'Analysis Sheet'!Y77)</f>
        <v xml:space="preserve"> </v>
      </c>
      <c r="G71" s="2"/>
    </row>
    <row r="72" spans="1:7" ht="34.5" customHeight="1" x14ac:dyDescent="0.35">
      <c r="A72" s="80"/>
      <c r="B72" s="2"/>
      <c r="C72" s="7" t="str">
        <f ca="1">IF('Analysis Sheet'!Y67="0", " ", 'Analysis Sheet'!X67)</f>
        <v xml:space="preserve"> </v>
      </c>
      <c r="D72" s="9" t="str">
        <f ca="1">IF('Analysis Sheet'!Y67="0", " ",'Analysis Sheet'!Y67)</f>
        <v xml:space="preserve"> </v>
      </c>
      <c r="E72" s="8" t="str">
        <f ca="1">IF('Analysis Sheet'!Y78="0", " ", 'Analysis Sheet'!X78)</f>
        <v xml:space="preserve"> </v>
      </c>
      <c r="F72" s="9" t="str">
        <f ca="1">IF('Analysis Sheet'!Y78="0", " ",'Analysis Sheet'!Y78)</f>
        <v xml:space="preserve"> </v>
      </c>
      <c r="G72" s="2"/>
    </row>
    <row r="73" spans="1:7" ht="20.100000000000001" customHeight="1" x14ac:dyDescent="0.35">
      <c r="A73" s="80"/>
      <c r="B73" s="2"/>
      <c r="C73" s="7" t="str">
        <f ca="1">IF('Analysis Sheet'!Y68="0", " ", 'Analysis Sheet'!X68)</f>
        <v xml:space="preserve"> </v>
      </c>
      <c r="D73" s="9" t="str">
        <f ca="1">IF('Analysis Sheet'!Y68="0", " ",'Analysis Sheet'!Y68)</f>
        <v xml:space="preserve"> </v>
      </c>
      <c r="E73" s="8" t="str">
        <f ca="1">IF('Analysis Sheet'!Y79="0", " ", 'Analysis Sheet'!X79)</f>
        <v xml:space="preserve"> </v>
      </c>
      <c r="F73" s="9" t="str">
        <f ca="1">IF('Analysis Sheet'!Y79="0", " ",'Analysis Sheet'!Y79)</f>
        <v xml:space="preserve"> </v>
      </c>
      <c r="G73" s="2"/>
    </row>
    <row r="74" spans="1:7" ht="20.100000000000001" customHeight="1" x14ac:dyDescent="0.35">
      <c r="A74" s="80"/>
      <c r="B74" s="2"/>
      <c r="C74" s="7" t="str">
        <f ca="1">IF('Analysis Sheet'!Y69="0", " ", 'Analysis Sheet'!X69)</f>
        <v xml:space="preserve"> </v>
      </c>
      <c r="D74" s="9" t="str">
        <f ca="1">IF('Analysis Sheet'!Y69="0", " ",'Analysis Sheet'!Y69)</f>
        <v xml:space="preserve"> </v>
      </c>
      <c r="E74" s="8" t="str">
        <f ca="1">IF('Analysis Sheet'!Y80="0", " ", 'Analysis Sheet'!X80)</f>
        <v xml:space="preserve"> </v>
      </c>
      <c r="F74" s="9" t="str">
        <f ca="1">IF('Analysis Sheet'!Y80="0", " ",'Analysis Sheet'!Y80)</f>
        <v xml:space="preserve"> </v>
      </c>
      <c r="G74" s="2"/>
    </row>
    <row r="75" spans="1:7" ht="20.100000000000001" customHeight="1" x14ac:dyDescent="0.35">
      <c r="A75" s="80"/>
      <c r="B75" s="2"/>
      <c r="C75" s="7" t="str">
        <f ca="1">IF('Analysis Sheet'!Y70="0", " ", 'Analysis Sheet'!X70)</f>
        <v xml:space="preserve"> </v>
      </c>
      <c r="D75" s="9" t="str">
        <f ca="1">IF('Analysis Sheet'!Y70="0", " ",'Analysis Sheet'!Y70)</f>
        <v xml:space="preserve"> </v>
      </c>
      <c r="E75" s="8" t="str">
        <f ca="1">IF('Analysis Sheet'!Y81="0", " ", 'Analysis Sheet'!X81)</f>
        <v xml:space="preserve"> </v>
      </c>
      <c r="F75" s="9" t="str">
        <f ca="1">IF('Analysis Sheet'!Y81="0", " ",'Analysis Sheet'!Y81)</f>
        <v xml:space="preserve"> </v>
      </c>
      <c r="G75" s="2"/>
    </row>
    <row r="76" spans="1:7" ht="20.100000000000001" customHeight="1" x14ac:dyDescent="0.35">
      <c r="A76" s="80"/>
      <c r="B76" s="2"/>
      <c r="C76" s="7" t="str">
        <f ca="1">IF('Analysis Sheet'!Y71="0", " ", 'Analysis Sheet'!X71)</f>
        <v xml:space="preserve"> </v>
      </c>
      <c r="D76" s="9" t="str">
        <f ca="1">IF('Analysis Sheet'!Y71="0", " ",'Analysis Sheet'!Y71)</f>
        <v xml:space="preserve"> </v>
      </c>
      <c r="E76" s="8" t="str">
        <f ca="1">IF('Analysis Sheet'!Y82="0", " ", 'Analysis Sheet'!X82)</f>
        <v xml:space="preserve"> </v>
      </c>
      <c r="F76" s="9" t="str">
        <f ca="1">IF('Analysis Sheet'!Y82="0", " ",'Analysis Sheet'!Y82)</f>
        <v xml:space="preserve"> </v>
      </c>
      <c r="G76" s="2"/>
    </row>
    <row r="77" spans="1:7" ht="20.100000000000001" customHeight="1" x14ac:dyDescent="0.35">
      <c r="A77" s="80"/>
      <c r="B77" s="2"/>
      <c r="C77" s="7" t="str">
        <f ca="1">IF('Analysis Sheet'!Y72="0", " ", 'Analysis Sheet'!X72)</f>
        <v xml:space="preserve"> </v>
      </c>
      <c r="D77" s="9" t="str">
        <f ca="1">IF('Analysis Sheet'!Y72="0", " ",'Analysis Sheet'!Y72)</f>
        <v xml:space="preserve"> </v>
      </c>
      <c r="E77" s="8" t="str">
        <f ca="1">IF('Analysis Sheet'!Y83="0", " ", 'Analysis Sheet'!X83)</f>
        <v xml:space="preserve"> </v>
      </c>
      <c r="F77" s="9" t="str">
        <f ca="1">IF('Analysis Sheet'!Y83="0", " ",'Analysis Sheet'!Y83)</f>
        <v xml:space="preserve"> </v>
      </c>
      <c r="G77" s="2"/>
    </row>
    <row r="78" spans="1:7" ht="20.100000000000001" customHeight="1" x14ac:dyDescent="0.35">
      <c r="A78" s="80"/>
      <c r="B78" s="2"/>
      <c r="C78" s="7" t="str">
        <f ca="1">IF('Analysis Sheet'!Y73="0", " ", 'Analysis Sheet'!X73)</f>
        <v xml:space="preserve"> </v>
      </c>
      <c r="D78" s="9" t="str">
        <f ca="1">IF('Analysis Sheet'!Y73="0", " ",'Analysis Sheet'!Y73)</f>
        <v xml:space="preserve"> </v>
      </c>
      <c r="E78" s="88" t="str">
        <f ca="1">IF(NOT(ISBLANK(F78)), "Subtotal", " ")</f>
        <v>Subtotal</v>
      </c>
      <c r="F78" s="90">
        <f ca="1">'Analysis Sheet'!Z64</f>
        <v>0</v>
      </c>
      <c r="G78" s="2"/>
    </row>
    <row r="79" spans="1:7" ht="20.100000000000001" customHeight="1" x14ac:dyDescent="0.35">
      <c r="A79" s="80"/>
      <c r="B79" s="2"/>
      <c r="C79" s="10" t="str">
        <f ca="1">IF('Analysis Sheet'!Y74="0", " ", 'Analysis Sheet'!X74)</f>
        <v xml:space="preserve"> </v>
      </c>
      <c r="D79" s="84" t="str">
        <f ca="1">IF('Analysis Sheet'!Y74="0", " ",'Analysis Sheet'!Y74)</f>
        <v xml:space="preserve"> </v>
      </c>
      <c r="E79" s="89"/>
      <c r="F79" s="91"/>
      <c r="G79" s="2"/>
    </row>
    <row r="80" spans="1:7" ht="20.100000000000001" customHeight="1" x14ac:dyDescent="0.35">
      <c r="A80" s="80"/>
      <c r="B80" s="2"/>
      <c r="C80" s="2"/>
      <c r="D80" s="2"/>
      <c r="E80" s="2"/>
      <c r="F80" s="2"/>
      <c r="G80" s="2"/>
    </row>
    <row r="81" spans="1:8" ht="20.100000000000001" customHeight="1" x14ac:dyDescent="0.35">
      <c r="A81" s="80"/>
      <c r="B81" s="2"/>
      <c r="C81" s="2"/>
      <c r="D81" s="2"/>
      <c r="E81" s="2"/>
      <c r="F81" s="2"/>
      <c r="G81" s="2"/>
    </row>
    <row r="82" spans="1:8" ht="20.100000000000001" customHeight="1" x14ac:dyDescent="0.35">
      <c r="A82" s="80"/>
      <c r="B82" s="2"/>
      <c r="C82" s="11"/>
      <c r="D82" s="11"/>
      <c r="E82" s="11"/>
      <c r="F82" s="2"/>
      <c r="G82" s="2"/>
    </row>
    <row r="83" spans="1:8" ht="20.100000000000001" customHeight="1" x14ac:dyDescent="0.35">
      <c r="A83" s="80"/>
      <c r="B83" s="2"/>
      <c r="C83" s="11"/>
      <c r="D83" s="11"/>
      <c r="E83" s="11"/>
      <c r="F83" s="2"/>
      <c r="G83" s="2"/>
    </row>
    <row r="84" spans="1:8" ht="20.100000000000001" customHeight="1" x14ac:dyDescent="0.35">
      <c r="A84" s="80"/>
      <c r="B84" s="2"/>
      <c r="C84" s="11"/>
      <c r="D84" s="11"/>
      <c r="E84" s="11"/>
      <c r="F84" s="2"/>
      <c r="G84" s="54" t="str">
        <f>IF(H2=0, " ", H2)</f>
        <v>Sample
Organization</v>
      </c>
    </row>
    <row r="85" spans="1:8" ht="19.5" customHeight="1" x14ac:dyDescent="0.45">
      <c r="A85" s="80"/>
      <c r="B85" s="2"/>
      <c r="C85" s="2"/>
      <c r="D85" s="2"/>
      <c r="E85" s="2"/>
      <c r="F85" s="66"/>
      <c r="G85" s="55">
        <f ca="1">IF(NOT(ISBLANK(H2)),TODAY()," ")</f>
        <v>43051</v>
      </c>
    </row>
    <row r="86" spans="1:8" s="12" customFormat="1" ht="20.100000000000001" customHeight="1" x14ac:dyDescent="0.3">
      <c r="B86" s="15"/>
      <c r="C86" s="15"/>
      <c r="D86" s="15"/>
      <c r="E86" s="15"/>
      <c r="F86" s="15"/>
      <c r="G86" s="15"/>
      <c r="H86" s="15"/>
    </row>
    <row r="87" spans="1:8" s="12" customFormat="1" ht="20.100000000000001" customHeight="1" x14ac:dyDescent="0.3">
      <c r="B87" s="15"/>
      <c r="C87" s="15"/>
      <c r="D87" s="15"/>
      <c r="E87" s="15"/>
      <c r="F87" s="15"/>
      <c r="G87" s="15"/>
      <c r="H87" s="15"/>
    </row>
    <row r="88" spans="1:8" s="12" customFormat="1" ht="20.100000000000001" customHeight="1" x14ac:dyDescent="0.3">
      <c r="B88" s="15"/>
      <c r="C88" s="15"/>
      <c r="D88" s="15"/>
      <c r="E88" s="15"/>
      <c r="F88" s="15"/>
      <c r="G88" s="15"/>
      <c r="H88" s="15"/>
    </row>
    <row r="89" spans="1:8" s="12" customFormat="1" ht="20.100000000000001" customHeight="1" x14ac:dyDescent="0.3">
      <c r="B89" s="15"/>
      <c r="C89" s="15"/>
      <c r="D89" s="15"/>
      <c r="E89" s="15"/>
      <c r="F89" s="15"/>
      <c r="G89" s="15"/>
      <c r="H89" s="15"/>
    </row>
  </sheetData>
  <sheetProtection algorithmName="SHA-512" hashValue="0DCK7aCBlWSW5jeyEANiEfYSFot96kEgRgiEFt3glDcU2AkXgxPvLHH2FCLHHZJ3MVTt4A8YxXUus4adZVKwRA==" saltValue="6O/6TLCOwS+ZQYeNIAyA9Q==" spinCount="100000" sheet="1" selectLockedCells="1"/>
  <protectedRanges>
    <protectedRange password="EDC5" sqref="A72:A85 A2:A42 A45:A52 A55:A69" name="Questions" securityDescriptor="O:WDG:WDD:(A;;CC;;;S-1-5-21-141016951-2875533310-3849578572-1555)(A;;CC;;;S-1-5-21-141016951-2875533310-3849578572-1554)(A;;CC;;;S-1-5-21-141016951-2875533310-3849578572-1243)"/>
  </protectedRanges>
  <mergeCells count="13">
    <mergeCell ref="F3:G3"/>
    <mergeCell ref="F4:G4"/>
    <mergeCell ref="C1:E1"/>
    <mergeCell ref="F2:G2"/>
    <mergeCell ref="C2:D2"/>
    <mergeCell ref="C3:D3"/>
    <mergeCell ref="C4:D4"/>
    <mergeCell ref="E78:E79"/>
    <mergeCell ref="F78:F79"/>
    <mergeCell ref="E16:E17"/>
    <mergeCell ref="F16:F17"/>
    <mergeCell ref="E34:E35"/>
    <mergeCell ref="F34:F35"/>
  </mergeCell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Import">
          <controlPr defaultSize="0" print="0" autoFill="0" autoLine="0" r:id="rId5">
            <anchor moveWithCells="1">
              <from>
                <xdr:col>4</xdr:col>
                <xdr:colOff>0</xdr:colOff>
                <xdr:row>1</xdr:row>
                <xdr:rowOff>22860</xdr:rowOff>
              </from>
              <to>
                <xdr:col>4</xdr:col>
                <xdr:colOff>129540</xdr:colOff>
                <xdr:row>1</xdr:row>
                <xdr:rowOff>213360</xdr:rowOff>
              </to>
            </anchor>
          </controlPr>
        </control>
      </mc:Choice>
      <mc:Fallback>
        <control shapeId="1025" r:id="rId4" name="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39997558519241921"/>
  </sheetPr>
  <dimension ref="A1:AH43"/>
  <sheetViews>
    <sheetView topLeftCell="A23" workbookViewId="0">
      <selection activeCell="C33" sqref="C33"/>
    </sheetView>
  </sheetViews>
  <sheetFormatPr defaultColWidth="9.109375" defaultRowHeight="18" x14ac:dyDescent="0.35"/>
  <cols>
    <col min="1" max="1" width="27.6640625" style="40" bestFit="1" customWidth="1"/>
    <col min="2" max="2" width="9.109375" style="40"/>
    <col min="3" max="3" width="30.88671875" style="40" bestFit="1" customWidth="1"/>
    <col min="4" max="16384" width="9.109375" style="40"/>
  </cols>
  <sheetData>
    <row r="1" spans="1:34" x14ac:dyDescent="0.35">
      <c r="A1" s="39" t="s">
        <v>37</v>
      </c>
      <c r="B1" s="39" t="s">
        <v>38</v>
      </c>
      <c r="C1" s="72"/>
      <c r="O1" s="103" t="s">
        <v>39</v>
      </c>
      <c r="P1" s="103"/>
      <c r="Q1" s="103"/>
      <c r="R1" s="103"/>
      <c r="S1" s="103"/>
      <c r="T1" s="103"/>
      <c r="U1" s="103"/>
      <c r="V1" s="63"/>
      <c r="W1" s="63"/>
      <c r="X1" s="63"/>
      <c r="Y1" s="63"/>
      <c r="Z1" s="63"/>
      <c r="AA1" s="63"/>
      <c r="AB1" s="63"/>
      <c r="AC1" s="63"/>
      <c r="AD1" s="63"/>
      <c r="AE1" s="63"/>
      <c r="AF1" s="63"/>
      <c r="AG1" s="63"/>
      <c r="AH1" s="63"/>
    </row>
    <row r="2" spans="1:34" x14ac:dyDescent="0.35">
      <c r="A2" s="57" t="s">
        <v>86</v>
      </c>
      <c r="B2" s="58">
        <v>1</v>
      </c>
      <c r="C2" s="73"/>
      <c r="O2" s="68">
        <v>1</v>
      </c>
      <c r="P2" s="68"/>
      <c r="Q2" s="68">
        <v>-1</v>
      </c>
      <c r="R2" s="68">
        <v>-2</v>
      </c>
      <c r="S2" s="68">
        <v>-3</v>
      </c>
      <c r="T2" s="68">
        <v>-4</v>
      </c>
      <c r="U2" s="68">
        <v>-5</v>
      </c>
      <c r="V2" s="68">
        <v>-6</v>
      </c>
      <c r="W2" s="68">
        <v>-7</v>
      </c>
      <c r="X2" s="68">
        <v>-8</v>
      </c>
      <c r="Y2" s="68">
        <v>-9</v>
      </c>
      <c r="Z2" s="68">
        <v>-10</v>
      </c>
      <c r="AA2" s="68">
        <v>-11</v>
      </c>
      <c r="AB2" s="68">
        <v>-12</v>
      </c>
      <c r="AC2" s="68">
        <v>-13</v>
      </c>
      <c r="AD2" s="68">
        <v>-14</v>
      </c>
      <c r="AE2" s="68">
        <v>-15</v>
      </c>
      <c r="AF2" s="68">
        <v>-16</v>
      </c>
      <c r="AG2" s="68">
        <v>-17</v>
      </c>
      <c r="AH2" s="68">
        <v>-18</v>
      </c>
    </row>
    <row r="3" spans="1:34" x14ac:dyDescent="0.35">
      <c r="A3" s="57" t="s">
        <v>87</v>
      </c>
      <c r="B3" s="58">
        <v>1</v>
      </c>
      <c r="C3" s="73"/>
      <c r="E3" s="62"/>
      <c r="F3" s="56"/>
    </row>
    <row r="4" spans="1:34" x14ac:dyDescent="0.35">
      <c r="A4" s="57" t="s">
        <v>88</v>
      </c>
      <c r="B4" s="58">
        <v>1</v>
      </c>
      <c r="C4" s="73"/>
      <c r="E4" s="56"/>
      <c r="F4" s="56"/>
    </row>
    <row r="5" spans="1:34" x14ac:dyDescent="0.35">
      <c r="A5" s="57" t="s">
        <v>89</v>
      </c>
      <c r="B5" s="58">
        <v>1</v>
      </c>
      <c r="C5" s="73"/>
      <c r="E5" s="56"/>
      <c r="F5" s="56"/>
    </row>
    <row r="6" spans="1:34" x14ac:dyDescent="0.35">
      <c r="A6" s="57" t="s">
        <v>90</v>
      </c>
      <c r="B6" s="58">
        <v>1</v>
      </c>
      <c r="C6" s="73"/>
      <c r="E6" s="56"/>
      <c r="F6" s="56"/>
    </row>
    <row r="7" spans="1:34" x14ac:dyDescent="0.35">
      <c r="A7" s="57" t="s">
        <v>78</v>
      </c>
      <c r="B7" s="58">
        <v>1</v>
      </c>
      <c r="C7" s="73"/>
      <c r="E7" s="56"/>
      <c r="F7" s="56"/>
    </row>
    <row r="8" spans="1:34" x14ac:dyDescent="0.35">
      <c r="A8" s="57" t="s">
        <v>91</v>
      </c>
      <c r="B8" s="58">
        <v>1</v>
      </c>
      <c r="C8" s="73"/>
      <c r="E8" s="56"/>
      <c r="F8" s="56"/>
    </row>
    <row r="9" spans="1:34" x14ac:dyDescent="0.35">
      <c r="A9" s="57" t="s">
        <v>67</v>
      </c>
      <c r="B9" s="58">
        <v>3</v>
      </c>
      <c r="C9" s="73"/>
      <c r="E9" s="56"/>
      <c r="F9" s="56"/>
    </row>
    <row r="10" spans="1:34" x14ac:dyDescent="0.35">
      <c r="A10" s="57" t="s">
        <v>92</v>
      </c>
      <c r="B10" s="58">
        <v>4</v>
      </c>
      <c r="C10" s="73"/>
      <c r="E10" s="56"/>
      <c r="F10" s="56"/>
    </row>
    <row r="11" spans="1:34" x14ac:dyDescent="0.35">
      <c r="A11" s="57" t="s">
        <v>93</v>
      </c>
      <c r="B11" s="58">
        <v>4</v>
      </c>
      <c r="C11" s="73"/>
    </row>
    <row r="12" spans="1:34" x14ac:dyDescent="0.35">
      <c r="A12" s="57" t="s">
        <v>94</v>
      </c>
      <c r="B12" s="58">
        <v>4</v>
      </c>
      <c r="C12" s="73"/>
    </row>
    <row r="13" spans="1:34" x14ac:dyDescent="0.35">
      <c r="A13" s="76" t="s">
        <v>40</v>
      </c>
      <c r="B13" s="58">
        <v>4</v>
      </c>
      <c r="C13" s="73"/>
    </row>
    <row r="14" spans="1:34" x14ac:dyDescent="0.35">
      <c r="A14" s="76" t="s">
        <v>41</v>
      </c>
      <c r="B14" s="58">
        <v>1</v>
      </c>
      <c r="C14" s="73"/>
    </row>
    <row r="15" spans="1:34" x14ac:dyDescent="0.35">
      <c r="A15" s="57" t="s">
        <v>95</v>
      </c>
      <c r="B15" s="58">
        <v>1</v>
      </c>
      <c r="C15" s="73"/>
    </row>
    <row r="16" spans="1:34" x14ac:dyDescent="0.35">
      <c r="A16" s="57" t="s">
        <v>96</v>
      </c>
      <c r="B16" s="58">
        <v>4</v>
      </c>
      <c r="C16" s="73"/>
    </row>
    <row r="17" spans="1:3" x14ac:dyDescent="0.35">
      <c r="A17" s="57" t="s">
        <v>42</v>
      </c>
      <c r="B17" s="58">
        <v>1</v>
      </c>
      <c r="C17" s="73"/>
    </row>
    <row r="18" spans="1:3" x14ac:dyDescent="0.35">
      <c r="A18" s="57" t="s">
        <v>97</v>
      </c>
      <c r="B18" s="58">
        <v>4</v>
      </c>
      <c r="C18" s="73"/>
    </row>
    <row r="19" spans="1:3" x14ac:dyDescent="0.35">
      <c r="A19" s="57" t="s">
        <v>43</v>
      </c>
      <c r="B19" s="58">
        <v>1</v>
      </c>
      <c r="C19" s="73"/>
    </row>
    <row r="20" spans="1:3" x14ac:dyDescent="0.35">
      <c r="A20" s="57" t="s">
        <v>44</v>
      </c>
      <c r="B20" s="58">
        <v>1</v>
      </c>
    </row>
    <row r="21" spans="1:3" x14ac:dyDescent="0.35">
      <c r="A21" s="57" t="s">
        <v>84</v>
      </c>
      <c r="B21" s="58">
        <v>1</v>
      </c>
    </row>
    <row r="22" spans="1:3" x14ac:dyDescent="0.35">
      <c r="A22" s="57" t="s">
        <v>45</v>
      </c>
      <c r="B22" s="58">
        <v>1</v>
      </c>
    </row>
    <row r="23" spans="1:3" x14ac:dyDescent="0.35">
      <c r="A23" s="57" t="s">
        <v>68</v>
      </c>
      <c r="B23" s="58">
        <v>4</v>
      </c>
    </row>
    <row r="24" spans="1:3" x14ac:dyDescent="0.35">
      <c r="A24" s="57" t="s">
        <v>69</v>
      </c>
      <c r="B24" s="58">
        <v>4</v>
      </c>
    </row>
    <row r="25" spans="1:3" x14ac:dyDescent="0.35">
      <c r="A25" s="57" t="s">
        <v>46</v>
      </c>
      <c r="B25" s="58">
        <v>2</v>
      </c>
    </row>
    <row r="26" spans="1:3" x14ac:dyDescent="0.35">
      <c r="A26" s="57" t="s">
        <v>47</v>
      </c>
      <c r="B26" s="58">
        <v>4</v>
      </c>
    </row>
    <row r="27" spans="1:3" x14ac:dyDescent="0.35">
      <c r="A27" s="57" t="s">
        <v>98</v>
      </c>
      <c r="B27" s="58">
        <v>1</v>
      </c>
    </row>
    <row r="28" spans="1:3" x14ac:dyDescent="0.35">
      <c r="A28" s="57" t="s">
        <v>99</v>
      </c>
      <c r="B28" s="58">
        <v>2</v>
      </c>
    </row>
    <row r="29" spans="1:3" x14ac:dyDescent="0.35">
      <c r="A29" s="57" t="s">
        <v>48</v>
      </c>
      <c r="B29" s="58">
        <v>4</v>
      </c>
    </row>
    <row r="30" spans="1:3" x14ac:dyDescent="0.35">
      <c r="A30" s="57" t="s">
        <v>49</v>
      </c>
      <c r="B30" s="58">
        <v>5</v>
      </c>
    </row>
    <row r="31" spans="1:3" x14ac:dyDescent="0.35">
      <c r="A31" s="57" t="s">
        <v>79</v>
      </c>
      <c r="B31" s="58">
        <v>1</v>
      </c>
    </row>
    <row r="32" spans="1:3" x14ac:dyDescent="0.35">
      <c r="A32" s="57" t="s">
        <v>100</v>
      </c>
      <c r="B32" s="58">
        <v>1</v>
      </c>
    </row>
    <row r="33" spans="1:2" x14ac:dyDescent="0.35">
      <c r="A33" s="57" t="s">
        <v>50</v>
      </c>
      <c r="B33" s="58">
        <v>1</v>
      </c>
    </row>
    <row r="34" spans="1:2" x14ac:dyDescent="0.35">
      <c r="A34" s="76" t="s">
        <v>101</v>
      </c>
      <c r="B34" s="58">
        <v>1</v>
      </c>
    </row>
    <row r="35" spans="1:2" x14ac:dyDescent="0.35">
      <c r="A35" s="76" t="s">
        <v>51</v>
      </c>
      <c r="B35" s="58">
        <v>1</v>
      </c>
    </row>
    <row r="36" spans="1:2" x14ac:dyDescent="0.35">
      <c r="A36" s="57" t="s">
        <v>102</v>
      </c>
      <c r="B36" s="58">
        <v>4</v>
      </c>
    </row>
    <row r="37" spans="1:2" x14ac:dyDescent="0.35">
      <c r="A37" s="57" t="s">
        <v>80</v>
      </c>
      <c r="B37" s="58">
        <v>1</v>
      </c>
    </row>
    <row r="38" spans="1:2" x14ac:dyDescent="0.35">
      <c r="A38" s="57" t="s">
        <v>103</v>
      </c>
      <c r="B38" s="58">
        <v>1</v>
      </c>
    </row>
    <row r="39" spans="1:2" x14ac:dyDescent="0.35">
      <c r="A39" s="57" t="s">
        <v>83</v>
      </c>
      <c r="B39" s="58">
        <v>1</v>
      </c>
    </row>
    <row r="40" spans="1:2" x14ac:dyDescent="0.35">
      <c r="A40" s="57" t="s">
        <v>52</v>
      </c>
      <c r="B40" s="58">
        <v>4</v>
      </c>
    </row>
    <row r="41" spans="1:2" x14ac:dyDescent="0.35">
      <c r="A41" s="76" t="s">
        <v>81</v>
      </c>
      <c r="B41" s="58">
        <v>4</v>
      </c>
    </row>
    <row r="42" spans="1:2" x14ac:dyDescent="0.35">
      <c r="A42" s="57" t="s">
        <v>53</v>
      </c>
      <c r="B42" s="58">
        <v>1</v>
      </c>
    </row>
    <row r="43" spans="1:2" x14ac:dyDescent="0.35">
      <c r="A43" s="77" t="s">
        <v>82</v>
      </c>
      <c r="B43" s="58">
        <v>0</v>
      </c>
    </row>
  </sheetData>
  <sheetProtection algorithmName="SHA-512" hashValue="4iLCEUebI/cwzs0jgwybjuEIGLbWf3lfOA3o2SDqkDtQlzxmSUhLnlHVdct5msOVJtsW6auqsvgqz9MLeidxqQ==" saltValue="1Rz5XjUQEF0GnsJN7b8OUg==" spinCount="100000" sheet="1" objects="1" scenarios="1" selectLockedCells="1" selectUnlockedCells="1"/>
  <sortState ref="A2:B43">
    <sortCondition ref="A2:A43"/>
  </sortState>
  <mergeCells count="1">
    <mergeCell ref="O1:U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85"/>
  <sheetViews>
    <sheetView topLeftCell="O1" zoomScale="70" zoomScaleNormal="70" workbookViewId="0">
      <selection activeCell="AB4" sqref="AB4"/>
    </sheetView>
  </sheetViews>
  <sheetFormatPr defaultColWidth="9.109375" defaultRowHeight="14.4" x14ac:dyDescent="0.3"/>
  <cols>
    <col min="1" max="1" width="83.44140625" style="24" customWidth="1"/>
    <col min="2" max="2" width="20.33203125" style="24" customWidth="1"/>
    <col min="3" max="23" width="17.6640625" style="24" customWidth="1"/>
    <col min="24" max="24" width="18.88671875" style="24" customWidth="1"/>
    <col min="25" max="25" width="15.6640625" style="24" customWidth="1"/>
    <col min="26" max="26" width="15.88671875" style="24" customWidth="1"/>
    <col min="27" max="16384" width="9.109375" style="24"/>
  </cols>
  <sheetData>
    <row r="1" spans="1:34" s="3" customFormat="1" x14ac:dyDescent="0.3">
      <c r="W1" s="41"/>
    </row>
    <row r="2" spans="1:34" s="3" customFormat="1" x14ac:dyDescent="0.3">
      <c r="W2" s="41"/>
      <c r="AF2" s="3" t="s">
        <v>73</v>
      </c>
    </row>
    <row r="3" spans="1:34" s="18" customFormat="1" ht="28.2" hidden="1" customHeight="1" x14ac:dyDescent="0.3">
      <c r="A3" s="16" t="s">
        <v>29</v>
      </c>
      <c r="B3" s="17" t="s">
        <v>30</v>
      </c>
      <c r="C3" s="17" t="s">
        <v>31</v>
      </c>
      <c r="D3" s="17"/>
      <c r="E3" s="17"/>
      <c r="F3" s="17"/>
      <c r="G3" s="17"/>
      <c r="H3" s="17"/>
      <c r="I3" s="17"/>
      <c r="J3" s="17"/>
      <c r="K3" s="17"/>
      <c r="L3" s="17"/>
      <c r="M3" s="17"/>
      <c r="N3" s="17"/>
      <c r="O3" s="17"/>
      <c r="P3" s="17"/>
      <c r="Q3" s="17"/>
      <c r="R3" s="17"/>
      <c r="S3" s="17"/>
      <c r="T3" s="17"/>
      <c r="U3" s="17"/>
      <c r="V3" s="17"/>
      <c r="W3" s="47"/>
      <c r="X3" s="17" t="s">
        <v>32</v>
      </c>
      <c r="Y3" s="17" t="s">
        <v>33</v>
      </c>
      <c r="Z3" s="17" t="s">
        <v>34</v>
      </c>
      <c r="AA3" s="17" t="s">
        <v>35</v>
      </c>
      <c r="AB3" s="17" t="s">
        <v>74</v>
      </c>
      <c r="AC3" s="17" t="s">
        <v>70</v>
      </c>
      <c r="AD3" s="18" t="s">
        <v>76</v>
      </c>
      <c r="AF3" s="71" t="s">
        <v>36</v>
      </c>
      <c r="AG3" s="71" t="s">
        <v>85</v>
      </c>
      <c r="AH3" s="78" t="s">
        <v>104</v>
      </c>
    </row>
    <row r="4" spans="1:34" s="20" customFormat="1" ht="27" customHeight="1" x14ac:dyDescent="0.3">
      <c r="A4" s="20" t="str">
        <f>UStrip('User Ranking Form'!A3)</f>
        <v xml:space="preserve">WE ARE CREATING A COMMUNITY OF TINY HOMES TO SERVE AS TRANSITIONAL HOUSING FOR HOMELESS INDIVIDUALS IN THE BAY AREA </v>
      </c>
      <c r="B4" s="44" t="str">
        <f>IFERROR(MatchWords('Analysis Sheet'!A4, 'Values Table'!$A$2:$B$42)," ")</f>
        <v>HOMELESS, HOUSING</v>
      </c>
      <c r="C4" s="20" t="str">
        <f ca="1">IF(NOT(ISBLANK($B$4)),TRIM(MID(SUBSTITUTE('Analysis Sheet'!$B$4,", ",REPT(" ",LEN('Analysis Sheet'!$B$4))),((COLUMNS('Analysis Sheet'!$B$4:$B$4)-(OFFSET('Values Table'!O2,0,0)))*LEN('Analysis Sheet'!$B$4))+1,LEN('Analysis Sheet'!$B$4))))</f>
        <v>HOMELESS</v>
      </c>
      <c r="D4" s="20" t="str">
        <f ca="1">IF(NOT(ISBLANK($B$4)),TRIM(MID(SUBSTITUTE('Analysis Sheet'!$B$4,", ",REPT(" ",LEN('Analysis Sheet'!$B$4))),((COLUMNS('Analysis Sheet'!$B$4:$B$4)-(OFFSET('Values Table'!P2,0,0)))*LEN('Analysis Sheet'!$B$4))+1,LEN('Analysis Sheet'!$B$4))))</f>
        <v>HOUSING</v>
      </c>
      <c r="E4" s="20" t="str">
        <f ca="1">IF(NOT(ISBLANK($B$4)),TRIM(MID(SUBSTITUTE('Analysis Sheet'!$B$4,", ",REPT(" ",LEN('Analysis Sheet'!$B$4))),((COLUMNS('Analysis Sheet'!$B$4:$B$4)-(OFFSET('Values Table'!Q2,0,0)))*LEN('Analysis Sheet'!$B$4))+1,LEN('Analysis Sheet'!$B$4))))</f>
        <v/>
      </c>
      <c r="F4" s="20" t="str">
        <f ca="1">IF(NOT(ISBLANK($B$4)),TRIM(MID(SUBSTITUTE('Analysis Sheet'!$B$4,", ",REPT(" ",LEN('Analysis Sheet'!$B$4))),((COLUMNS('Analysis Sheet'!$B$4:$B$4)-(OFFSET('Values Table'!R2,0,0)))*LEN('Analysis Sheet'!$B$4))+1,LEN('Analysis Sheet'!$B$4))))</f>
        <v/>
      </c>
      <c r="G4" s="20" t="str">
        <f ca="1">IF(NOT(ISBLANK($B$4)),TRIM(MID(SUBSTITUTE('Analysis Sheet'!$B$4,", ",REPT(" ",LEN('Analysis Sheet'!$B$4))),((COLUMNS('Analysis Sheet'!$B$4:$B$4)-(OFFSET('Values Table'!S2,0,0)))*LEN('Analysis Sheet'!$B$4))+1,LEN('Analysis Sheet'!$B$4))))</f>
        <v/>
      </c>
      <c r="H4" s="20" t="str">
        <f ca="1">IF(NOT(ISBLANK($B$4)),TRIM(MID(SUBSTITUTE('Analysis Sheet'!$B$4,", ",REPT(" ",LEN('Analysis Sheet'!$B$4))),((COLUMNS('Analysis Sheet'!$B$4:$B$4)-(OFFSET('Values Table'!T2,0,0)))*LEN('Analysis Sheet'!$B$4))+1,LEN('Analysis Sheet'!$B$4))))</f>
        <v/>
      </c>
      <c r="I4" s="20" t="str">
        <f ca="1">IF(NOT(ISBLANK($B$4)),TRIM(MID(SUBSTITUTE('Analysis Sheet'!$B$4,", ",REPT(" ",LEN('Analysis Sheet'!$B$4))),((COLUMNS('Analysis Sheet'!$B$4:$B$4)-(OFFSET('Values Table'!U2,0,0)))*LEN('Analysis Sheet'!$B$4))+1,LEN('Analysis Sheet'!$B$4))))</f>
        <v/>
      </c>
      <c r="J4" s="20" t="str">
        <f ca="1">IF(NOT(ISBLANK($B$4)),TRIM(MID(SUBSTITUTE('Analysis Sheet'!$B$4,", ",REPT(" ",LEN('Analysis Sheet'!$B$4))),((COLUMNS('Analysis Sheet'!$B$4:$B$4)-(OFFSET('Values Table'!V2,0,0)))*LEN('Analysis Sheet'!$B$4))+1,LEN('Analysis Sheet'!$B$4))))</f>
        <v/>
      </c>
      <c r="K4" s="20" t="str">
        <f ca="1">IF(NOT(ISBLANK($B$4)),TRIM(MID(SUBSTITUTE('Analysis Sheet'!$B$4,", ",REPT(" ",LEN('Analysis Sheet'!$B$4))),((COLUMNS('Analysis Sheet'!$B$4:$B$4)-(OFFSET('Values Table'!W2,0,0)))*LEN('Analysis Sheet'!$B$4))+1,LEN('Analysis Sheet'!$B$4))))</f>
        <v/>
      </c>
      <c r="L4" s="20" t="str">
        <f ca="1">IF(NOT(ISBLANK($B$4)),TRIM(MID(SUBSTITUTE('Analysis Sheet'!$B$4,", ",REPT(" ",LEN('Analysis Sheet'!$B$4))),((COLUMNS('Analysis Sheet'!$B$4:$B$4)-(OFFSET('Values Table'!X2,0,0)))*LEN('Analysis Sheet'!$B$4))+1,LEN('Analysis Sheet'!$B$4))))</f>
        <v/>
      </c>
      <c r="M4" s="20" t="str">
        <f ca="1">IF(NOT(ISBLANK($B$4)),TRIM(MID(SUBSTITUTE('Analysis Sheet'!$B$4,", ",REPT(" ",LEN('Analysis Sheet'!$B$4))),((COLUMNS('Analysis Sheet'!$B$4:$B$4)-(OFFSET('Values Table'!Y2,0,0)))*LEN('Analysis Sheet'!$B$4))+1,LEN('Analysis Sheet'!$B$4))))</f>
        <v/>
      </c>
      <c r="N4" s="20" t="str">
        <f ca="1">IF(NOT(ISBLANK($B$4)),TRIM(MID(SUBSTITUTE('Analysis Sheet'!$B$4,", ",REPT(" ",LEN('Analysis Sheet'!$B$4))),((COLUMNS('Analysis Sheet'!$B$4:$B$4)-(OFFSET('Values Table'!Z2,0,0)))*LEN('Analysis Sheet'!$B$4))+1,LEN('Analysis Sheet'!$B$4))))</f>
        <v/>
      </c>
      <c r="O4" s="20" t="str">
        <f ca="1">IF(NOT(ISBLANK($B$4)),TRIM(MID(SUBSTITUTE('Analysis Sheet'!$B$4,", ",REPT(" ",LEN('Analysis Sheet'!$B$4))),((COLUMNS('Analysis Sheet'!$B$4:$B$4)-(OFFSET('Values Table'!AA2,0,0)))*LEN('Analysis Sheet'!$B$4))+1,LEN('Analysis Sheet'!$B$4))))</f>
        <v/>
      </c>
      <c r="P4" s="20" t="str">
        <f ca="1">IF(NOT(ISBLANK($B$4)),TRIM(MID(SUBSTITUTE('Analysis Sheet'!$B$4,", ",REPT(" ",LEN('Analysis Sheet'!$B$4))),((COLUMNS('Analysis Sheet'!$B$4:$B$4)-(OFFSET('Values Table'!AB2,0,0)))*LEN('Analysis Sheet'!$B$4))+1,LEN('Analysis Sheet'!$B$4))))</f>
        <v/>
      </c>
      <c r="Q4" s="20" t="str">
        <f ca="1">IF(NOT(ISBLANK($B$4)),TRIM(MID(SUBSTITUTE('Analysis Sheet'!$B$4,", ",REPT(" ",LEN('Analysis Sheet'!$B$4))),((COLUMNS('Analysis Sheet'!$B$4:$B$4)-(OFFSET('Values Table'!AC2,0,0)))*LEN('Analysis Sheet'!$B$4))+1,LEN('Analysis Sheet'!$B$4))))</f>
        <v/>
      </c>
      <c r="R4" s="20" t="str">
        <f ca="1">IF(NOT(ISBLANK($B$4)),TRIM(MID(SUBSTITUTE('Analysis Sheet'!$B$4,", ",REPT(" ",LEN('Analysis Sheet'!$B$4))),((COLUMNS('Analysis Sheet'!$B$4:$B$4)-(OFFSET('Values Table'!AD2,0,0)))*LEN('Analysis Sheet'!$B$4))+1,LEN('Analysis Sheet'!$B$4))))</f>
        <v/>
      </c>
      <c r="S4" s="20" t="str">
        <f ca="1">IF(NOT(ISBLANK($B$4)),TRIM(MID(SUBSTITUTE('Analysis Sheet'!$B$4,", ",REPT(" ",LEN('Analysis Sheet'!$B$4))),((COLUMNS('Analysis Sheet'!$B$4:$B$4)-(OFFSET('Values Table'!AE2,0,0)))*LEN('Analysis Sheet'!$B$4))+1,LEN('Analysis Sheet'!$B$4))))</f>
        <v/>
      </c>
      <c r="T4" s="20" t="str">
        <f ca="1">IF(NOT(ISBLANK($B$4)),TRIM(MID(SUBSTITUTE('Analysis Sheet'!$B$4,", ",REPT(" ",LEN('Analysis Sheet'!$B$4))),((COLUMNS('Analysis Sheet'!$B$4:$B$4)-(OFFSET('Values Table'!AF2,0,0)))*LEN('Analysis Sheet'!$B$4))+1,LEN('Analysis Sheet'!$B$4))))</f>
        <v/>
      </c>
      <c r="U4" s="20" t="str">
        <f ca="1">IF(NOT(ISBLANK($B$4)),TRIM(MID(SUBSTITUTE('Analysis Sheet'!$B$4,", ",REPT(" ",LEN('Analysis Sheet'!$B$4))),((COLUMNS('Analysis Sheet'!$B$4:$B$4)-(OFFSET('Values Table'!AG2,0,0)))*LEN('Analysis Sheet'!$B$4))+1,LEN('Analysis Sheet'!$B$4))))</f>
        <v/>
      </c>
      <c r="V4" s="20" t="str">
        <f ca="1">IF(NOT(ISBLANK($B$4)),TRIM(MID(SUBSTITUTE('Analysis Sheet'!$B$4,", ",REPT(" ",LEN('Analysis Sheet'!$B$4))),((COLUMNS('Analysis Sheet'!$B$4:$B$4)-(OFFSET('Values Table'!AH2,0,0)))*LEN('Analysis Sheet'!$B$4))+1,LEN('Analysis Sheet'!$B$4))))</f>
        <v/>
      </c>
      <c r="W4" s="41"/>
      <c r="X4" s="20" t="str">
        <f ca="1">UNIQUE($C$4:$V$23, 1)</f>
        <v>HOMELESS</v>
      </c>
      <c r="Y4" s="20">
        <f ca="1">IFERROR(VLOOKUP('Analysis Sheet'!X4,'Values Table'!$A$2:$B$42,2,FALSE), "0")</f>
        <v>1</v>
      </c>
      <c r="Z4" s="20">
        <f ca="1">SUM('Analysis Sheet'!Y4:Y23)</f>
        <v>7</v>
      </c>
      <c r="AA4" s="20">
        <f ca="1">SUM($Z$4,$Z$24,$Z$44,$Z$64)</f>
        <v>19</v>
      </c>
      <c r="AB4" s="64">
        <f>SUM('Values Table'!B2:B43)</f>
        <v>88</v>
      </c>
      <c r="AC4" s="69">
        <f ca="1">AA4/AB4</f>
        <v>0.21590909090909091</v>
      </c>
    </row>
    <row r="5" spans="1:34" s="20" customFormat="1" x14ac:dyDescent="0.3">
      <c r="A5" s="20" t="str">
        <f>UStrip('User Ranking Form'!A4)</f>
        <v xml:space="preserve">THIS COMMUNITY WILL COMBINE THE SOCIAL RESPONSIBILITY WITH THE TECHNOLOGICAL INNOVATION OF THE SILICON VALLEY </v>
      </c>
      <c r="B5" s="44" t="str">
        <f>IFERROR(MatchWords('Analysis Sheet'!A5, 'Values Table'!$A$2:$B$42)," ")</f>
        <v>INNOVATION</v>
      </c>
      <c r="C5" s="20" t="str">
        <f ca="1">IF(NOT(ISBLANK($B$5)),TRIM(MID(SUBSTITUTE('Analysis Sheet'!$B$5,", ",REPT(" ",LEN('Analysis Sheet'!$B$5))),((COLUMNS('Analysis Sheet'!$B$5:$B$5)-(OFFSET('Values Table'!O2,0,0)))*LEN('Analysis Sheet'!$B$5))+1,LEN('Analysis Sheet'!$B$5))))</f>
        <v>INNOVATION</v>
      </c>
      <c r="D5" s="20" t="str">
        <f ca="1">IF(NOT(ISBLANK($B$5)),TRIM(MID(SUBSTITUTE('Analysis Sheet'!$B$5,", ",REPT(" ",LEN('Analysis Sheet'!$B$5))),((COLUMNS('Analysis Sheet'!$B$5:$B$5)-(OFFSET('Values Table'!P2,0,0)))*LEN('Analysis Sheet'!$B$5))+1,LEN('Analysis Sheet'!$B$5))))</f>
        <v/>
      </c>
      <c r="E5" s="20" t="str">
        <f ca="1">IF(NOT(ISBLANK($B$5)),TRIM(MID(SUBSTITUTE('Analysis Sheet'!$B$5,", ",REPT(" ",LEN('Analysis Sheet'!$B$5))),((COLUMNS('Analysis Sheet'!$B$5:$B$5)-(OFFSET('Values Table'!Q2,0,0)))*LEN('Analysis Sheet'!$B$5))+1,LEN('Analysis Sheet'!$B$5))))</f>
        <v/>
      </c>
      <c r="F5" s="20" t="str">
        <f ca="1">IF(NOT(ISBLANK($B$5)),TRIM(MID(SUBSTITUTE('Analysis Sheet'!$B$5,", ",REPT(" ",LEN('Analysis Sheet'!$B$5))),((COLUMNS('Analysis Sheet'!$B$5:$B$5)-(OFFSET('Values Table'!R2,0,0)))*LEN('Analysis Sheet'!$B$5))+1,LEN('Analysis Sheet'!$B$5))))</f>
        <v/>
      </c>
      <c r="G5" s="20" t="str">
        <f ca="1">IF(NOT(ISBLANK($B$5)),TRIM(MID(SUBSTITUTE('Analysis Sheet'!$B$5,", ",REPT(" ",LEN('Analysis Sheet'!$B$5))),((COLUMNS('Analysis Sheet'!$B$5:$B$5)-(OFFSET('Values Table'!S2,0,0)))*LEN('Analysis Sheet'!$B$5))+1,LEN('Analysis Sheet'!$B$5))))</f>
        <v/>
      </c>
      <c r="H5" s="20" t="str">
        <f ca="1">IF(NOT(ISBLANK($B$5)),TRIM(MID(SUBSTITUTE('Analysis Sheet'!$B$5,", ",REPT(" ",LEN('Analysis Sheet'!$B$5))),((COLUMNS('Analysis Sheet'!$B$5:$B$5)-(OFFSET('Values Table'!T2,0,0)))*LEN('Analysis Sheet'!$B$5))+1,LEN('Analysis Sheet'!$B$5))))</f>
        <v/>
      </c>
      <c r="I5" s="20" t="str">
        <f ca="1">IF(NOT(ISBLANK($B$5)),TRIM(MID(SUBSTITUTE('Analysis Sheet'!$B$5,", ",REPT(" ",LEN('Analysis Sheet'!$B$5))),((COLUMNS('Analysis Sheet'!$B$5:$B$5)-(OFFSET('Values Table'!U2,0,0)))*LEN('Analysis Sheet'!$B$5))+1,LEN('Analysis Sheet'!$B$5))))</f>
        <v/>
      </c>
      <c r="J5" s="20" t="str">
        <f ca="1">IF(NOT(ISBLANK($B$5)),TRIM(MID(SUBSTITUTE('Analysis Sheet'!$B$5,", ",REPT(" ",LEN('Analysis Sheet'!$B$5))),((COLUMNS('Analysis Sheet'!$B$5:$B$5)-(OFFSET('Values Table'!V2,0,0)))*LEN('Analysis Sheet'!$B$5))+1,LEN('Analysis Sheet'!$B$5))))</f>
        <v/>
      </c>
      <c r="K5" s="20" t="str">
        <f ca="1">IF(NOT(ISBLANK($B$5)),TRIM(MID(SUBSTITUTE('Analysis Sheet'!$B$5,", ",REPT(" ",LEN('Analysis Sheet'!$B$5))),((COLUMNS('Analysis Sheet'!$B$5:$B$5)-(OFFSET('Values Table'!W2,0,0)))*LEN('Analysis Sheet'!$B$5))+1,LEN('Analysis Sheet'!$B$5))))</f>
        <v/>
      </c>
      <c r="L5" s="20" t="str">
        <f ca="1">IF(NOT(ISBLANK($B$5)),TRIM(MID(SUBSTITUTE('Analysis Sheet'!$B$5,", ",REPT(" ",LEN('Analysis Sheet'!$B$5))),((COLUMNS('Analysis Sheet'!$B$5:$B$5)-(OFFSET('Values Table'!X2,0,0)))*LEN('Analysis Sheet'!$B$5))+1,LEN('Analysis Sheet'!$B$5))))</f>
        <v/>
      </c>
      <c r="M5" s="20" t="str">
        <f ca="1">IF(NOT(ISBLANK($B$5)),TRIM(MID(SUBSTITUTE('Analysis Sheet'!$B$5,", ",REPT(" ",LEN('Analysis Sheet'!$B$5))),((COLUMNS('Analysis Sheet'!$B$5:$B$5)-(OFFSET('Values Table'!Y2,0,0)))*LEN('Analysis Sheet'!$B$5))+1,LEN('Analysis Sheet'!$B$5))))</f>
        <v/>
      </c>
      <c r="N5" s="20" t="str">
        <f ca="1">IF(NOT(ISBLANK($B$5)),TRIM(MID(SUBSTITUTE('Analysis Sheet'!$B$5,", ",REPT(" ",LEN('Analysis Sheet'!$B$5))),((COLUMNS('Analysis Sheet'!$B$5:$B$5)-(OFFSET('Values Table'!Z2,0,0)))*LEN('Analysis Sheet'!$B$5))+1,LEN('Analysis Sheet'!$B$5))))</f>
        <v/>
      </c>
      <c r="O5" s="20" t="str">
        <f ca="1">IF(NOT(ISBLANK($B$5)),TRIM(MID(SUBSTITUTE('Analysis Sheet'!$B$5,", ",REPT(" ",LEN('Analysis Sheet'!$B$5))),((COLUMNS('Analysis Sheet'!$B$5:$B$5)-(OFFSET('Values Table'!AA2,0,0)))*LEN('Analysis Sheet'!$B$5))+1,LEN('Analysis Sheet'!$B$5))))</f>
        <v/>
      </c>
      <c r="P5" s="20" t="str">
        <f ca="1">IF(NOT(ISBLANK($B$5)),TRIM(MID(SUBSTITUTE('Analysis Sheet'!$B$5,", ",REPT(" ",LEN('Analysis Sheet'!$B$5))),((COLUMNS('Analysis Sheet'!$B$5:$B$5)-(OFFSET('Values Table'!AB2,0,0)))*LEN('Analysis Sheet'!$B$5))+1,LEN('Analysis Sheet'!$B$5))))</f>
        <v/>
      </c>
      <c r="Q5" s="20" t="str">
        <f ca="1">IF(NOT(ISBLANK($B$5)),TRIM(MID(SUBSTITUTE('Analysis Sheet'!$B$5,", ",REPT(" ",LEN('Analysis Sheet'!$B$5))),((COLUMNS('Analysis Sheet'!$B$5:$B$5)-(OFFSET('Values Table'!AC2,0,0)))*LEN('Analysis Sheet'!$B$5))+1,LEN('Analysis Sheet'!$B$5))))</f>
        <v/>
      </c>
      <c r="R5" s="20" t="str">
        <f ca="1">IF(NOT(ISBLANK($B$5)),TRIM(MID(SUBSTITUTE('Analysis Sheet'!$B$5,", ",REPT(" ",LEN('Analysis Sheet'!$B$5))),((COLUMNS('Analysis Sheet'!$B$5:$B$5)-(OFFSET('Values Table'!AD2,0,0)))*LEN('Analysis Sheet'!$B$5))+1,LEN('Analysis Sheet'!$B$5))))</f>
        <v/>
      </c>
      <c r="S5" s="20" t="str">
        <f ca="1">IF(NOT(ISBLANK($B$5)),TRIM(MID(SUBSTITUTE('Analysis Sheet'!$B$5,", ",REPT(" ",LEN('Analysis Sheet'!$B$5))),((COLUMNS('Analysis Sheet'!$B$5:$B$5)-(OFFSET('Values Table'!AE2,0,0)))*LEN('Analysis Sheet'!$B$5))+1,LEN('Analysis Sheet'!$B$5))))</f>
        <v/>
      </c>
      <c r="T5" s="20" t="str">
        <f ca="1">IF(NOT(ISBLANK($B$5)),TRIM(MID(SUBSTITUTE('Analysis Sheet'!$B$5,", ",REPT(" ",LEN('Analysis Sheet'!$B$5))),((COLUMNS('Analysis Sheet'!$B$5:$B$5)-(OFFSET('Values Table'!AF2,0,0)))*LEN('Analysis Sheet'!$B$5))+1,LEN('Analysis Sheet'!$B$5))))</f>
        <v/>
      </c>
      <c r="U5" s="20" t="str">
        <f ca="1">IF(NOT(ISBLANK($B$5)),TRIM(MID(SUBSTITUTE('Analysis Sheet'!$B$5,", ",REPT(" ",LEN('Analysis Sheet'!$B$5))),((COLUMNS('Analysis Sheet'!$B$5:$B$5)-(OFFSET('Values Table'!AG2,0,0)))*LEN('Analysis Sheet'!$B$5))+1,LEN('Analysis Sheet'!$B$5))))</f>
        <v/>
      </c>
      <c r="V5" s="20" t="str">
        <f ca="1">IF(NOT(ISBLANK($B$5)),TRIM(MID(SUBSTITUTE('Analysis Sheet'!$B$5,", ",REPT(" ",LEN('Analysis Sheet'!$B$5))),((COLUMNS('Analysis Sheet'!$B$5:$B$5)-(OFFSET('Values Table'!AH2,0,0)))*LEN('Analysis Sheet'!$B$5))+1,LEN('Analysis Sheet'!$B$5))))</f>
        <v/>
      </c>
      <c r="W5" s="41"/>
      <c r="X5" s="20" t="str">
        <f ca="1">UNIQUE($C$4:$V$23, 2)</f>
        <v>HOUSING</v>
      </c>
      <c r="Y5" s="20">
        <f ca="1">IFERROR(VLOOKUP('Analysis Sheet'!X5,'Values Table'!$A$2:$B$42,2,FALSE), "0")</f>
        <v>1</v>
      </c>
      <c r="AC5" s="45"/>
    </row>
    <row r="6" spans="1:34" s="20" customFormat="1" ht="28.8" x14ac:dyDescent="0.3">
      <c r="A6" s="20" t="str">
        <f>UStrip('User Ranking Form'!A5)</f>
        <v xml:space="preserve">GIVEN THE EVER INCREASING COST OF LIVING IN ADDITION TO THE EXPONENTIAL RATE AT WHICH THE DIVIDE BETWEEN THE RICH AND POOR DEEPENS HOMELESSNESS OR THE POTENTIAL TO BECOME HOMELESS IS A THREAT FOR MANY INDIVIDUALS THAT ARE JUST A PAYCHECK AWAY FROM LOSING THEIR LIVELIHOOD </v>
      </c>
      <c r="B6" s="44" t="str">
        <f>IFERROR(MatchWords('Analysis Sheet'!A6, 'Values Table'!$A$2:$B$42)," ")</f>
        <v>HOMELESSNESS, HOMELESSNESS</v>
      </c>
      <c r="C6" s="20" t="str">
        <f ca="1">IF(NOT(ISBLANK($B$6)),TRIM(MID(SUBSTITUTE('Analysis Sheet'!$B$6,", ",REPT(" ",LEN('Analysis Sheet'!$B$6))),((COLUMNS('Analysis Sheet'!$B$6:$B$6)-(OFFSET('Values Table'!O2,0,0)))*LEN('Analysis Sheet'!$B$6))+1,LEN('Analysis Sheet'!$B$6))))</f>
        <v>HOMELESSNESS</v>
      </c>
      <c r="D6" s="20" t="str">
        <f ca="1">IF(NOT(ISBLANK($B$6)),TRIM(MID(SUBSTITUTE('Analysis Sheet'!$B$6,", ",REPT(" ",LEN('Analysis Sheet'!$B$6))),((COLUMNS('Analysis Sheet'!$B$6:$B$6)-(OFFSET('Values Table'!P2,0,0)))*LEN('Analysis Sheet'!$B$6))+1,LEN('Analysis Sheet'!$B$6))))</f>
        <v>HOMELESSNESS</v>
      </c>
      <c r="E6" s="20" t="str">
        <f ca="1">IF(NOT(ISBLANK($B$6)),TRIM(MID(SUBSTITUTE('Analysis Sheet'!$B$6,", ",REPT(" ",LEN('Analysis Sheet'!$B$6))),((COLUMNS('Analysis Sheet'!$B$6:$B$6)-(OFFSET('Values Table'!Q2,0,0)))*LEN('Analysis Sheet'!$B$6))+1,LEN('Analysis Sheet'!$B$6))))</f>
        <v/>
      </c>
      <c r="F6" s="20" t="str">
        <f ca="1">IF(NOT(ISBLANK($B$6)),TRIM(MID(SUBSTITUTE('Analysis Sheet'!$B$6,", ",REPT(" ",LEN('Analysis Sheet'!$B$6))),((COLUMNS('Analysis Sheet'!$B$6:$B$6)-(OFFSET('Values Table'!R2,0,0)))*LEN('Analysis Sheet'!$B$6))+1,LEN('Analysis Sheet'!$B$6))))</f>
        <v/>
      </c>
      <c r="G6" s="20" t="str">
        <f ca="1">IF(NOT(ISBLANK($B$6)),TRIM(MID(SUBSTITUTE('Analysis Sheet'!$B$6,", ",REPT(" ",LEN('Analysis Sheet'!$B$6))),((COLUMNS('Analysis Sheet'!$B$6:$B$6)-(OFFSET('Values Table'!S2,0,0)))*LEN('Analysis Sheet'!$B$6))+1,LEN('Analysis Sheet'!$B$6))))</f>
        <v/>
      </c>
      <c r="H6" s="20" t="str">
        <f ca="1">IF(NOT(ISBLANK($B$6)),TRIM(MID(SUBSTITUTE('Analysis Sheet'!$B$6,", ",REPT(" ",LEN('Analysis Sheet'!$B$6))),((COLUMNS('Analysis Sheet'!$B$6:$B$6)-(OFFSET('Values Table'!T2,0,0)))*LEN('Analysis Sheet'!$B$6))+1,LEN('Analysis Sheet'!$B$6))))</f>
        <v/>
      </c>
      <c r="I6" s="20" t="str">
        <f ca="1">IF(NOT(ISBLANK($B$6)),TRIM(MID(SUBSTITUTE('Analysis Sheet'!$B$6,", ",REPT(" ",LEN('Analysis Sheet'!$B$6))),((COLUMNS('Analysis Sheet'!$B$6:$B$6)-(OFFSET('Values Table'!U2,0,0)))*LEN('Analysis Sheet'!$B$6))+1,LEN('Analysis Sheet'!$B$6))))</f>
        <v/>
      </c>
      <c r="J6" s="20" t="str">
        <f ca="1">IF(NOT(ISBLANK($B$6)),TRIM(MID(SUBSTITUTE('Analysis Sheet'!$B$6,", ",REPT(" ",LEN('Analysis Sheet'!$B$6))),((COLUMNS('Analysis Sheet'!$B$6:$B$6)-(OFFSET('Values Table'!V2,0,0)))*LEN('Analysis Sheet'!$B$6))+1,LEN('Analysis Sheet'!$B$6))))</f>
        <v/>
      </c>
      <c r="K6" s="20" t="str">
        <f ca="1">IF(NOT(ISBLANK($B$6)),TRIM(MID(SUBSTITUTE('Analysis Sheet'!$B$6,", ",REPT(" ",LEN('Analysis Sheet'!$B$6))),((COLUMNS('Analysis Sheet'!$B$6:$B$6)-(OFFSET('Values Table'!W2,0,0)))*LEN('Analysis Sheet'!$B$6))+1,LEN('Analysis Sheet'!$B$6))))</f>
        <v/>
      </c>
      <c r="L6" s="20" t="str">
        <f ca="1">IF(NOT(ISBLANK($B$6)),TRIM(MID(SUBSTITUTE('Analysis Sheet'!$B$6,", ",REPT(" ",LEN('Analysis Sheet'!$B$6))),((COLUMNS('Analysis Sheet'!$B$6:$B$6)-(OFFSET('Values Table'!X2,0,0)))*LEN('Analysis Sheet'!$B$6))+1,LEN('Analysis Sheet'!$B$6))))</f>
        <v/>
      </c>
      <c r="M6" s="20" t="str">
        <f ca="1">IF(NOT(ISBLANK($B$6)),TRIM(MID(SUBSTITUTE('Analysis Sheet'!$B$6,", ",REPT(" ",LEN('Analysis Sheet'!$B$6))),((COLUMNS('Analysis Sheet'!$B$6:$B$6)-(OFFSET('Values Table'!Y2,0,0)))*LEN('Analysis Sheet'!$B$6))+1,LEN('Analysis Sheet'!$B$6))))</f>
        <v/>
      </c>
      <c r="N6" s="20" t="str">
        <f ca="1">IF(NOT(ISBLANK($B$6)),TRIM(MID(SUBSTITUTE('Analysis Sheet'!$B$6,", ",REPT(" ",LEN('Analysis Sheet'!$B$6))),((COLUMNS('Analysis Sheet'!$B$6:$B$6)-(OFFSET('Values Table'!Z2,0,0)))*LEN('Analysis Sheet'!$B$6))+1,LEN('Analysis Sheet'!$B$6))))</f>
        <v/>
      </c>
      <c r="O6" s="20" t="str">
        <f ca="1">IF(NOT(ISBLANK($B$6)),TRIM(MID(SUBSTITUTE('Analysis Sheet'!$B$6,", ",REPT(" ",LEN('Analysis Sheet'!$B$6))),((COLUMNS('Analysis Sheet'!$B$6:$B$6)-(OFFSET('Values Table'!AA2,0,0)))*LEN('Analysis Sheet'!$B$6))+1,LEN('Analysis Sheet'!$B$6))))</f>
        <v/>
      </c>
      <c r="P6" s="20" t="str">
        <f ca="1">IF(NOT(ISBLANK($B$6)),TRIM(MID(SUBSTITUTE('Analysis Sheet'!$B$6,", ",REPT(" ",LEN('Analysis Sheet'!$B$6))),((COLUMNS('Analysis Sheet'!$B$6:$B$6)-(OFFSET('Values Table'!AB2,0,0)))*LEN('Analysis Sheet'!$B$6))+1,LEN('Analysis Sheet'!$B$6))))</f>
        <v/>
      </c>
      <c r="Q6" s="20" t="str">
        <f ca="1">IF(NOT(ISBLANK($B$6)),TRIM(MID(SUBSTITUTE('Analysis Sheet'!$B$6,", ",REPT(" ",LEN('Analysis Sheet'!$B$6))),((COLUMNS('Analysis Sheet'!$B$6:$B$6)-(OFFSET('Values Table'!AC2,0,0)))*LEN('Analysis Sheet'!$B$6))+1,LEN('Analysis Sheet'!$B$6))))</f>
        <v/>
      </c>
      <c r="R6" s="20" t="str">
        <f ca="1">IF(NOT(ISBLANK($B$6)),TRIM(MID(SUBSTITUTE('Analysis Sheet'!$B$6,", ",REPT(" ",LEN('Analysis Sheet'!$B$6))),((COLUMNS('Analysis Sheet'!$B$6:$B$6)-(OFFSET('Values Table'!AD2,0,0)))*LEN('Analysis Sheet'!$B$6))+1,LEN('Analysis Sheet'!$B$6))))</f>
        <v/>
      </c>
      <c r="S6" s="20" t="str">
        <f ca="1">IF(NOT(ISBLANK($B$6)),TRIM(MID(SUBSTITUTE('Analysis Sheet'!$B$6,", ",REPT(" ",LEN('Analysis Sheet'!$B$6))),((COLUMNS('Analysis Sheet'!$B$6:$B$6)-(OFFSET('Values Table'!AE2,0,0)))*LEN('Analysis Sheet'!$B$6))+1,LEN('Analysis Sheet'!$B$6))))</f>
        <v/>
      </c>
      <c r="T6" s="20" t="str">
        <f ca="1">IF(NOT(ISBLANK($B$6)),TRIM(MID(SUBSTITUTE('Analysis Sheet'!$B$6,", ",REPT(" ",LEN('Analysis Sheet'!$B$6))),((COLUMNS('Analysis Sheet'!$B$6:$B$6)-(OFFSET('Values Table'!AF2,0,0)))*LEN('Analysis Sheet'!$B$6))+1,LEN('Analysis Sheet'!$B$6))))</f>
        <v/>
      </c>
      <c r="U6" s="20" t="str">
        <f ca="1">IF(NOT(ISBLANK($B$6)),TRIM(MID(SUBSTITUTE('Analysis Sheet'!$B$6,", ",REPT(" ",LEN('Analysis Sheet'!$B$6))),((COLUMNS('Analysis Sheet'!$B$6:$B$6)-(OFFSET('Values Table'!AG2,0,0)))*LEN('Analysis Sheet'!$B$6))+1,LEN('Analysis Sheet'!$B$6))))</f>
        <v/>
      </c>
      <c r="V6" s="20" t="str">
        <f ca="1">IF(NOT(ISBLANK($B$6)),TRIM(MID(SUBSTITUTE('Analysis Sheet'!$B$6,", ",REPT(" ",LEN('Analysis Sheet'!$B$6))),((COLUMNS('Analysis Sheet'!$B$6:$B$6)-(OFFSET('Values Table'!AH2,0,0)))*LEN('Analysis Sheet'!$B$6))+1,LEN('Analysis Sheet'!$B$6))))</f>
        <v/>
      </c>
      <c r="W6" s="41"/>
      <c r="X6" s="20" t="str">
        <f ca="1">UNIQUE($C$4:$V$23, 3)</f>
        <v/>
      </c>
      <c r="Y6" s="20" t="str">
        <f ca="1">IFERROR(VLOOKUP('Analysis Sheet'!X6,'Values Table'!$A$2:$B$42,2,FALSE), "0")</f>
        <v>0</v>
      </c>
    </row>
    <row r="7" spans="1:34" s="20" customFormat="1" ht="16.5" customHeight="1" x14ac:dyDescent="0.3">
      <c r="A7" s="20" t="str">
        <f>UStrip('User Ranking Form'!A6)</f>
        <v xml:space="preserve">OUR PROJECT ADDRESSES THE LACK OF AFFORDABLE HOUSING AND WILL SERVE AS A SUPPORT SYSTEM FOR INDIVIDUALS THAT NEED TEMPORARY HELP GETTING BACK ON THEIR FEET </v>
      </c>
      <c r="B7" s="44" t="str">
        <f>IFERROR(MatchWords('Analysis Sheet'!A7, 'Values Table'!$A$2:$B$42)," ")</f>
        <v>HOUSING</v>
      </c>
      <c r="C7" s="20" t="str">
        <f ca="1">IF(NOT(ISBLANK($B$7)),TRIM(MID(SUBSTITUTE('Analysis Sheet'!$B$7,", ",REPT(" ",LEN('Analysis Sheet'!$B$7))),((COLUMNS('Analysis Sheet'!$B$7:$B$7)-(OFFSET('Values Table'!O2,0,0)))*LEN('Analysis Sheet'!$B$7))+1,LEN('Analysis Sheet'!$B$7))))</f>
        <v>HOUSING</v>
      </c>
      <c r="D7" s="20" t="str">
        <f ca="1">IF(NOT(ISBLANK($B$7)),TRIM(MID(SUBSTITUTE('Analysis Sheet'!$B$7,", ",REPT(" ",LEN('Analysis Sheet'!$B$7))),((COLUMNS('Analysis Sheet'!$B$7:$B$7)-(OFFSET('Values Table'!P2,0,0)))*LEN('Analysis Sheet'!$B$7))+1,LEN('Analysis Sheet'!$B$7))))</f>
        <v/>
      </c>
      <c r="E7" s="20" t="str">
        <f ca="1">IF(NOT(ISBLANK($B$7)),TRIM(MID(SUBSTITUTE('Analysis Sheet'!$B$7,", ",REPT(" ",LEN('Analysis Sheet'!$B$7))),((COLUMNS('Analysis Sheet'!$B$7:$B$7)-(OFFSET('Values Table'!Q2,0,0)))*LEN('Analysis Sheet'!$B$7))+1,LEN('Analysis Sheet'!$B$7))))</f>
        <v/>
      </c>
      <c r="F7" s="20" t="str">
        <f ca="1">IF(NOT(ISBLANK($B$7)),TRIM(MID(SUBSTITUTE('Analysis Sheet'!$B$7,", ",REPT(" ",LEN('Analysis Sheet'!$B$7))),((COLUMNS('Analysis Sheet'!$B$7:$B$7)-(OFFSET('Values Table'!R2,0,0)))*LEN('Analysis Sheet'!$B$7))+1,LEN('Analysis Sheet'!$B$7))))</f>
        <v/>
      </c>
      <c r="G7" s="20" t="str">
        <f ca="1">IF(NOT(ISBLANK($B$7)),TRIM(MID(SUBSTITUTE('Analysis Sheet'!$B$7,", ",REPT(" ",LEN('Analysis Sheet'!$B$7))),((COLUMNS('Analysis Sheet'!$B$7:$B$7)-(OFFSET('Values Table'!S2,0,0)))*LEN('Analysis Sheet'!$B$7))+1,LEN('Analysis Sheet'!$B$7))))</f>
        <v/>
      </c>
      <c r="H7" s="20" t="str">
        <f ca="1">IF(NOT(ISBLANK($B$7)),TRIM(MID(SUBSTITUTE('Analysis Sheet'!$B$7,", ",REPT(" ",LEN('Analysis Sheet'!$B$7))),((COLUMNS('Analysis Sheet'!$B$7:$B$7)-(OFFSET('Values Table'!T2,0,0)))*LEN('Analysis Sheet'!$B$7))+1,LEN('Analysis Sheet'!$B$7))))</f>
        <v/>
      </c>
      <c r="I7" s="20" t="str">
        <f ca="1">IF(NOT(ISBLANK($B$7)),TRIM(MID(SUBSTITUTE('Analysis Sheet'!$B$7,", ",REPT(" ",LEN('Analysis Sheet'!$B$7))),((COLUMNS('Analysis Sheet'!$B$7:$B$7)-(OFFSET('Values Table'!U2,0,0)))*LEN('Analysis Sheet'!$B$7))+1,LEN('Analysis Sheet'!$B$7))))</f>
        <v/>
      </c>
      <c r="J7" s="20" t="str">
        <f ca="1">IF(NOT(ISBLANK($B$7)),TRIM(MID(SUBSTITUTE('Analysis Sheet'!$B$7,", ",REPT(" ",LEN('Analysis Sheet'!$B$7))),((COLUMNS('Analysis Sheet'!$B$7:$B$7)-(OFFSET('Values Table'!V2,0,0)))*LEN('Analysis Sheet'!$B$7))+1,LEN('Analysis Sheet'!$B$7))))</f>
        <v/>
      </c>
      <c r="K7" s="20" t="str">
        <f ca="1">IF(NOT(ISBLANK($B$7)),TRIM(MID(SUBSTITUTE('Analysis Sheet'!$B$7,", ",REPT(" ",LEN('Analysis Sheet'!$B$7))),((COLUMNS('Analysis Sheet'!$B$7:$B$7)-(OFFSET('Values Table'!W2,0,0)))*LEN('Analysis Sheet'!$B$7))+1,LEN('Analysis Sheet'!$B$7))))</f>
        <v/>
      </c>
      <c r="L7" s="20" t="str">
        <f ca="1">IF(NOT(ISBLANK($B$7)),TRIM(MID(SUBSTITUTE('Analysis Sheet'!$B$7,", ",REPT(" ",LEN('Analysis Sheet'!$B$7))),((COLUMNS('Analysis Sheet'!$B$7:$B$7)-(OFFSET('Values Table'!X2,0,0)))*LEN('Analysis Sheet'!$B$7))+1,LEN('Analysis Sheet'!$B$7))))</f>
        <v/>
      </c>
      <c r="M7" s="20" t="str">
        <f ca="1">IF(NOT(ISBLANK($B$7)),TRIM(MID(SUBSTITUTE('Analysis Sheet'!$B$7,", ",REPT(" ",LEN('Analysis Sheet'!$B$7))),((COLUMNS('Analysis Sheet'!$B$7:$B$7)-(OFFSET('Values Table'!Y2,0,0)))*LEN('Analysis Sheet'!$B$7))+1,LEN('Analysis Sheet'!$B$7))))</f>
        <v/>
      </c>
      <c r="N7" s="20" t="str">
        <f ca="1">IF(NOT(ISBLANK($B$7)),TRIM(MID(SUBSTITUTE('Analysis Sheet'!$B$7,", ",REPT(" ",LEN('Analysis Sheet'!$B$7))),((COLUMNS('Analysis Sheet'!$B$7:$B$7)-(OFFSET('Values Table'!Z2,0,0)))*LEN('Analysis Sheet'!$B$7))+1,LEN('Analysis Sheet'!$B$7))))</f>
        <v/>
      </c>
      <c r="O7" s="20" t="str">
        <f ca="1">IF(NOT(ISBLANK($B$7)),TRIM(MID(SUBSTITUTE('Analysis Sheet'!$B$7,", ",REPT(" ",LEN('Analysis Sheet'!$B$7))),((COLUMNS('Analysis Sheet'!$B$7:$B$7)-(OFFSET('Values Table'!AA2,0,0)))*LEN('Analysis Sheet'!$B$7))+1,LEN('Analysis Sheet'!$B$7))))</f>
        <v/>
      </c>
      <c r="P7" s="20" t="str">
        <f ca="1">IF(NOT(ISBLANK($B$7)),TRIM(MID(SUBSTITUTE('Analysis Sheet'!$B$7,", ",REPT(" ",LEN('Analysis Sheet'!$B$7))),((COLUMNS('Analysis Sheet'!$B$7:$B$7)-(OFFSET('Values Table'!AB2,0,0)))*LEN('Analysis Sheet'!$B$7))+1,LEN('Analysis Sheet'!$B$7))))</f>
        <v/>
      </c>
      <c r="Q7" s="20" t="str">
        <f ca="1">IF(NOT(ISBLANK($B$7)),TRIM(MID(SUBSTITUTE('Analysis Sheet'!$B$7,", ",REPT(" ",LEN('Analysis Sheet'!$B$7))),((COLUMNS('Analysis Sheet'!$B$7:$B$7)-(OFFSET('Values Table'!AC2,0,0)))*LEN('Analysis Sheet'!$B$7))+1,LEN('Analysis Sheet'!$B$7))))</f>
        <v/>
      </c>
      <c r="R7" s="20" t="str">
        <f ca="1">IF(NOT(ISBLANK($B$7)),TRIM(MID(SUBSTITUTE('Analysis Sheet'!$B$7,", ",REPT(" ",LEN('Analysis Sheet'!$B$7))),((COLUMNS('Analysis Sheet'!$B$7:$B$7)-(OFFSET('Values Table'!AD2,0,0)))*LEN('Analysis Sheet'!$B$7))+1,LEN('Analysis Sheet'!$B$7))))</f>
        <v/>
      </c>
      <c r="S7" s="20" t="str">
        <f ca="1">IF(NOT(ISBLANK($B$7)),TRIM(MID(SUBSTITUTE('Analysis Sheet'!$B$7,", ",REPT(" ",LEN('Analysis Sheet'!$B$7))),((COLUMNS('Analysis Sheet'!$B$7:$B$7)-(OFFSET('Values Table'!AE2,0,0)))*LEN('Analysis Sheet'!$B$7))+1,LEN('Analysis Sheet'!$B$7))))</f>
        <v/>
      </c>
      <c r="T7" s="20" t="str">
        <f ca="1">IF(NOT(ISBLANK($B$7)),TRIM(MID(SUBSTITUTE('Analysis Sheet'!$B$7,", ",REPT(" ",LEN('Analysis Sheet'!$B$7))),((COLUMNS('Analysis Sheet'!$B$7:$B$7)-(OFFSET('Values Table'!AF2,0,0)))*LEN('Analysis Sheet'!$B$7))+1,LEN('Analysis Sheet'!$B$7))))</f>
        <v/>
      </c>
      <c r="U7" s="20" t="str">
        <f ca="1">IF(NOT(ISBLANK($B$7)),TRIM(MID(SUBSTITUTE('Analysis Sheet'!$B$7,", ",REPT(" ",LEN('Analysis Sheet'!$B$7))),((COLUMNS('Analysis Sheet'!$B$7:$B$7)-(OFFSET('Values Table'!AG2,0,0)))*LEN('Analysis Sheet'!$B$7))+1,LEN('Analysis Sheet'!$B$7))))</f>
        <v/>
      </c>
      <c r="V7" s="20" t="str">
        <f ca="1">IF(NOT(ISBLANK($B$7)),TRIM(MID(SUBSTITUTE('Analysis Sheet'!$B$7,", ",REPT(" ",LEN('Analysis Sheet'!$B$7))),((COLUMNS('Analysis Sheet'!$B$7:$B$7)-(OFFSET('Values Table'!AH2,0,0)))*LEN('Analysis Sheet'!$B$7))+1,LEN('Analysis Sheet'!$B$7))))</f>
        <v/>
      </c>
      <c r="W7" s="41"/>
      <c r="X7" s="20" t="str">
        <f ca="1">UNIQUE($C$4:$V$23, 4)</f>
        <v>INNOVATION</v>
      </c>
      <c r="Y7" s="20">
        <f ca="1">IFERROR(VLOOKUP('Analysis Sheet'!X7,'Values Table'!$A$2:$B$42,2,FALSE), "0")</f>
        <v>4</v>
      </c>
    </row>
    <row r="8" spans="1:34" s="20" customFormat="1" ht="23.25" customHeight="1" x14ac:dyDescent="0.3">
      <c r="A8" s="20" t="str">
        <f>UStrip('User Ranking Form'!A7)</f>
        <v/>
      </c>
      <c r="B8" s="44" t="str">
        <f>IFERROR(MatchWords('Analysis Sheet'!A8, 'Values Table'!$A$2:$B$42)," ")</f>
        <v xml:space="preserve"> </v>
      </c>
      <c r="C8" s="20" t="str">
        <f ca="1">IF(NOT(ISBLANK($B$8)),TRIM(MID(SUBSTITUTE('Analysis Sheet'!$B$8,", ",REPT(" ",LEN('Analysis Sheet'!$B$8))),((COLUMNS('Analysis Sheet'!$B$8:$B$8)-(OFFSET('Values Table'!O2,0,0)))*LEN('Analysis Sheet'!$B$8))+1,LEN('Analysis Sheet'!$B$8))))</f>
        <v/>
      </c>
      <c r="D8" s="20" t="str">
        <f ca="1">IF(NOT(ISBLANK($B$8)),TRIM(MID(SUBSTITUTE('Analysis Sheet'!$B$8,", ",REPT(" ",LEN('Analysis Sheet'!$B$8))),((COLUMNS('Analysis Sheet'!$B$8:$B$8)-(OFFSET('Values Table'!P2,0,0)))*LEN('Analysis Sheet'!$B$8))+1,LEN('Analysis Sheet'!$B$8))))</f>
        <v/>
      </c>
      <c r="E8" s="20" t="str">
        <f ca="1">IF(NOT(ISBLANK($B$8)),TRIM(MID(SUBSTITUTE('Analysis Sheet'!$B$8,", ",REPT(" ",LEN('Analysis Sheet'!$B$8))),((COLUMNS('Analysis Sheet'!$B$8:$B$8)-(OFFSET('Values Table'!Q2,0,0)))*LEN('Analysis Sheet'!$B$8))+1,LEN('Analysis Sheet'!$B$8))))</f>
        <v/>
      </c>
      <c r="F8" s="20" t="str">
        <f ca="1">IF(NOT(ISBLANK($B$8)),TRIM(MID(SUBSTITUTE('Analysis Sheet'!$B$8,", ",REPT(" ",LEN('Analysis Sheet'!$B$8))),((COLUMNS('Analysis Sheet'!$B$8:$B$8)-(OFFSET('Values Table'!R2,0,0)))*LEN('Analysis Sheet'!$B$8))+1,LEN('Analysis Sheet'!$B$8))))</f>
        <v/>
      </c>
      <c r="G8" s="20" t="str">
        <f ca="1">IF(NOT(ISBLANK($B$8)),TRIM(MID(SUBSTITUTE('Analysis Sheet'!$B$8,", ",REPT(" ",LEN('Analysis Sheet'!$B$8))),((COLUMNS('Analysis Sheet'!$B$8:$B$8)-(OFFSET('Values Table'!S2,0,0)))*LEN('Analysis Sheet'!$B$8))+1,LEN('Analysis Sheet'!$B$8))))</f>
        <v/>
      </c>
      <c r="H8" s="20" t="str">
        <f ca="1">IF(NOT(ISBLANK($B$8)),TRIM(MID(SUBSTITUTE('Analysis Sheet'!$B$8,", ",REPT(" ",LEN('Analysis Sheet'!$B$8))),((COLUMNS('Analysis Sheet'!$B$8:$B$8)-(OFFSET('Values Table'!T2,0,0)))*LEN('Analysis Sheet'!$B$8))+1,LEN('Analysis Sheet'!$B$8))))</f>
        <v/>
      </c>
      <c r="I8" s="20" t="str">
        <f ca="1">IF(NOT(ISBLANK($B$8)),TRIM(MID(SUBSTITUTE('Analysis Sheet'!$B$8,", ",REPT(" ",LEN('Analysis Sheet'!$B$8))),((COLUMNS('Analysis Sheet'!$B$8:$B$8)-(OFFSET('Values Table'!U2,0,0)))*LEN('Analysis Sheet'!$B$8))+1,LEN('Analysis Sheet'!$B$8))))</f>
        <v/>
      </c>
      <c r="J8" s="20" t="str">
        <f ca="1">IF(NOT(ISBLANK($B$8)),TRIM(MID(SUBSTITUTE('Analysis Sheet'!$B$8,", ",REPT(" ",LEN('Analysis Sheet'!$B$8))),((COLUMNS('Analysis Sheet'!$B$8:$B$8)-(OFFSET('Values Table'!V2,0,0)))*LEN('Analysis Sheet'!$B$8))+1,LEN('Analysis Sheet'!$B$8))))</f>
        <v/>
      </c>
      <c r="K8" s="20" t="str">
        <f ca="1">IF(NOT(ISBLANK($B$8)),TRIM(MID(SUBSTITUTE('Analysis Sheet'!$B$8,", ",REPT(" ",LEN('Analysis Sheet'!$B$8))),((COLUMNS('Analysis Sheet'!$B$8:$B$8)-(OFFSET('Values Table'!W2,0,0)))*LEN('Analysis Sheet'!$B$8))+1,LEN('Analysis Sheet'!$B$8))))</f>
        <v/>
      </c>
      <c r="L8" s="20" t="str">
        <f ca="1">IF(NOT(ISBLANK($B$8)),TRIM(MID(SUBSTITUTE('Analysis Sheet'!$B$8,", ",REPT(" ",LEN('Analysis Sheet'!$B$8))),((COLUMNS('Analysis Sheet'!$B$8:$B$8)-(OFFSET('Values Table'!X2,0,0)))*LEN('Analysis Sheet'!$B$8))+1,LEN('Analysis Sheet'!$B$8))))</f>
        <v/>
      </c>
      <c r="M8" s="20" t="str">
        <f ca="1">IF(NOT(ISBLANK($B$8)),TRIM(MID(SUBSTITUTE('Analysis Sheet'!$B$8,", ",REPT(" ",LEN('Analysis Sheet'!$B$8))),((COLUMNS('Analysis Sheet'!$B$8:$B$8)-(OFFSET('Values Table'!Y2,0,0)))*LEN('Analysis Sheet'!$B$8))+1,LEN('Analysis Sheet'!$B$8))))</f>
        <v/>
      </c>
      <c r="N8" s="20" t="str">
        <f ca="1">IF(NOT(ISBLANK($B$8)),TRIM(MID(SUBSTITUTE('Analysis Sheet'!$B$8,", ",REPT(" ",LEN('Analysis Sheet'!$B$8))),((COLUMNS('Analysis Sheet'!$B$8:$B$8)-(OFFSET('Values Table'!Z2,0,0)))*LEN('Analysis Sheet'!$B$8))+1,LEN('Analysis Sheet'!$B$8))))</f>
        <v/>
      </c>
      <c r="O8" s="20" t="str">
        <f ca="1">IF(NOT(ISBLANK($B$8)),TRIM(MID(SUBSTITUTE('Analysis Sheet'!$B$8,", ",REPT(" ",LEN('Analysis Sheet'!$B$8))),((COLUMNS('Analysis Sheet'!$B$8:$B$8)-(OFFSET('Values Table'!AA2,0,0)))*LEN('Analysis Sheet'!$B$8))+1,LEN('Analysis Sheet'!$B$8))))</f>
        <v/>
      </c>
      <c r="P8" s="20" t="str">
        <f ca="1">IF(NOT(ISBLANK($B$8)),TRIM(MID(SUBSTITUTE('Analysis Sheet'!$B$8,", ",REPT(" ",LEN('Analysis Sheet'!$B$8))),((COLUMNS('Analysis Sheet'!$B$8:$B$8)-(OFFSET('Values Table'!AB2,0,0)))*LEN('Analysis Sheet'!$B$8))+1,LEN('Analysis Sheet'!$B$8))))</f>
        <v/>
      </c>
      <c r="Q8" s="20" t="str">
        <f ca="1">IF(NOT(ISBLANK($B$8)),TRIM(MID(SUBSTITUTE('Analysis Sheet'!$B$8,", ",REPT(" ",LEN('Analysis Sheet'!$B$8))),((COLUMNS('Analysis Sheet'!$B$8:$B$8)-(OFFSET('Values Table'!AC2,0,0)))*LEN('Analysis Sheet'!$B$8))+1,LEN('Analysis Sheet'!$B$8))))</f>
        <v/>
      </c>
      <c r="R8" s="20" t="str">
        <f ca="1">IF(NOT(ISBLANK($B$8)),TRIM(MID(SUBSTITUTE('Analysis Sheet'!$B$8,", ",REPT(" ",LEN('Analysis Sheet'!$B$8))),((COLUMNS('Analysis Sheet'!$B$8:$B$8)-(OFFSET('Values Table'!AD2,0,0)))*LEN('Analysis Sheet'!$B$8))+1,LEN('Analysis Sheet'!$B$8))))</f>
        <v/>
      </c>
      <c r="S8" s="20" t="str">
        <f ca="1">IF(NOT(ISBLANK($B$8)),TRIM(MID(SUBSTITUTE('Analysis Sheet'!$B$8,", ",REPT(" ",LEN('Analysis Sheet'!$B$8))),((COLUMNS('Analysis Sheet'!$B$8:$B$8)-(OFFSET('Values Table'!AE2,0,0)))*LEN('Analysis Sheet'!$B$8))+1,LEN('Analysis Sheet'!$B$8))))</f>
        <v/>
      </c>
      <c r="T8" s="20" t="str">
        <f ca="1">IF(NOT(ISBLANK($B$8)),TRIM(MID(SUBSTITUTE('Analysis Sheet'!$B$8,", ",REPT(" ",LEN('Analysis Sheet'!$B$8))),((COLUMNS('Analysis Sheet'!$B$8:$B$8)-(OFFSET('Values Table'!AF2,0,0)))*LEN('Analysis Sheet'!$B$8))+1,LEN('Analysis Sheet'!$B$8))))</f>
        <v/>
      </c>
      <c r="U8" s="20" t="str">
        <f ca="1">IF(NOT(ISBLANK($B$8)),TRIM(MID(SUBSTITUTE('Analysis Sheet'!$B$8,", ",REPT(" ",LEN('Analysis Sheet'!$B$8))),((COLUMNS('Analysis Sheet'!$B$8:$B$8)-(OFFSET('Values Table'!AG2,0,0)))*LEN('Analysis Sheet'!$B$8))+1,LEN('Analysis Sheet'!$B$8))))</f>
        <v/>
      </c>
      <c r="V8" s="20" t="str">
        <f ca="1">IF(NOT(ISBLANK($B$8)),TRIM(MID(SUBSTITUTE('Analysis Sheet'!$B$8,", ",REPT(" ",LEN('Analysis Sheet'!$B$8))),((COLUMNS('Analysis Sheet'!$B$8:$B$8)-(OFFSET('Values Table'!AH2,0,0)))*LEN('Analysis Sheet'!$B$8))+1,LEN('Analysis Sheet'!$B$8))))</f>
        <v/>
      </c>
      <c r="W8" s="41"/>
      <c r="X8" s="20" t="str">
        <f ca="1">UNIQUE($C$4:$V$23, 5)</f>
        <v>HOMELESSNESS</v>
      </c>
      <c r="Y8" s="20">
        <f ca="1">IFERROR(VLOOKUP('Analysis Sheet'!X8,'Values Table'!$A$2:$B$42,2,FALSE), "0")</f>
        <v>1</v>
      </c>
    </row>
    <row r="9" spans="1:34" s="20" customFormat="1" ht="16.5" customHeight="1" x14ac:dyDescent="0.3">
      <c r="A9" s="20" t="str">
        <f>UStrip('User Ranking Form'!A8)</f>
        <v/>
      </c>
      <c r="B9" s="44" t="str">
        <f>IFERROR(MatchWords('Analysis Sheet'!A9, 'Values Table'!$A$2:$B$42)," ")</f>
        <v xml:space="preserve"> </v>
      </c>
      <c r="C9" s="20" t="str">
        <f ca="1">IF(NOT(ISBLANK($B$9)),TRIM(MID(SUBSTITUTE('Analysis Sheet'!$B$9,", ",REPT(" ",LEN('Analysis Sheet'!$B$9))),((COLUMNS('Analysis Sheet'!$B$9:$B$9)-(OFFSET('Values Table'!O2,0,0)))*LEN('Analysis Sheet'!$B$9))+1,LEN('Analysis Sheet'!$B$9))))</f>
        <v/>
      </c>
      <c r="D9" s="20" t="str">
        <f ca="1">IF(NOT(ISBLANK($B$9)),TRIM(MID(SUBSTITUTE('Analysis Sheet'!$B$9,", ",REPT(" ",LEN('Analysis Sheet'!$B$9))),((COLUMNS('Analysis Sheet'!$B$9:$B$9)-(OFFSET('Values Table'!P2,0,0)))*LEN('Analysis Sheet'!$B$9))+1,LEN('Analysis Sheet'!$B$9))))</f>
        <v/>
      </c>
      <c r="E9" s="20" t="str">
        <f ca="1">IF(NOT(ISBLANK($B$9)),TRIM(MID(SUBSTITUTE('Analysis Sheet'!$B$9,", ",REPT(" ",LEN('Analysis Sheet'!$B$9))),((COLUMNS('Analysis Sheet'!$B$9:$B$9)-(OFFSET('Values Table'!Q2,0,0)))*LEN('Analysis Sheet'!$B$9))+1,LEN('Analysis Sheet'!$B$9))))</f>
        <v/>
      </c>
      <c r="F9" s="20" t="str">
        <f ca="1">IF(NOT(ISBLANK($B$9)),TRIM(MID(SUBSTITUTE('Analysis Sheet'!$B$9,", ",REPT(" ",LEN('Analysis Sheet'!$B$9))),((COLUMNS('Analysis Sheet'!$B$9:$B$9)-(OFFSET('Values Table'!R2,0,0)))*LEN('Analysis Sheet'!$B$9))+1,LEN('Analysis Sheet'!$B$9))))</f>
        <v/>
      </c>
      <c r="G9" s="20" t="str">
        <f ca="1">IF(NOT(ISBLANK($B$9)),TRIM(MID(SUBSTITUTE('Analysis Sheet'!$B$9,", ",REPT(" ",LEN('Analysis Sheet'!$B$9))),((COLUMNS('Analysis Sheet'!$B$9:$B$9)-(OFFSET('Values Table'!S2,0,0)))*LEN('Analysis Sheet'!$B$9))+1,LEN('Analysis Sheet'!$B$9))))</f>
        <v/>
      </c>
      <c r="H9" s="20" t="str">
        <f ca="1">IF(NOT(ISBLANK($B$9)),TRIM(MID(SUBSTITUTE('Analysis Sheet'!$B$9,", ",REPT(" ",LEN('Analysis Sheet'!$B$9))),((COLUMNS('Analysis Sheet'!$B$9:$B$9)-(OFFSET('Values Table'!T2,0,0)))*LEN('Analysis Sheet'!$B$9))+1,LEN('Analysis Sheet'!$B$9))))</f>
        <v/>
      </c>
      <c r="I9" s="20" t="str">
        <f ca="1">IF(NOT(ISBLANK($B$9)),TRIM(MID(SUBSTITUTE('Analysis Sheet'!$B$9,", ",REPT(" ",LEN('Analysis Sheet'!$B$9))),((COLUMNS('Analysis Sheet'!$B$9:$B$9)-(OFFSET('Values Table'!U2,0,0)))*LEN('Analysis Sheet'!$B$9))+1,LEN('Analysis Sheet'!$B$9))))</f>
        <v/>
      </c>
      <c r="J9" s="20" t="str">
        <f ca="1">IF(NOT(ISBLANK($B$9)),TRIM(MID(SUBSTITUTE('Analysis Sheet'!$B$9,", ",REPT(" ",LEN('Analysis Sheet'!$B$9))),((COLUMNS('Analysis Sheet'!$B$9:$B$9)-(OFFSET('Values Table'!V2,0,0)))*LEN('Analysis Sheet'!$B$9))+1,LEN('Analysis Sheet'!$B$9))))</f>
        <v/>
      </c>
      <c r="K9" s="20" t="str">
        <f ca="1">IF(NOT(ISBLANK($B$9)),TRIM(MID(SUBSTITUTE('Analysis Sheet'!$B$9,", ",REPT(" ",LEN('Analysis Sheet'!$B$9))),((COLUMNS('Analysis Sheet'!$B$9:$B$9)-(OFFSET('Values Table'!W2,0,0)))*LEN('Analysis Sheet'!$B$9))+1,LEN('Analysis Sheet'!$B$9))))</f>
        <v/>
      </c>
      <c r="L9" s="20" t="str">
        <f ca="1">IF(NOT(ISBLANK($B$9)),TRIM(MID(SUBSTITUTE('Analysis Sheet'!$B$9,", ",REPT(" ",LEN('Analysis Sheet'!$B$9))),((COLUMNS('Analysis Sheet'!$B$9:$B$9)-(OFFSET('Values Table'!X2,0,0)))*LEN('Analysis Sheet'!$B$9))+1,LEN('Analysis Sheet'!$B$9))))</f>
        <v/>
      </c>
      <c r="M9" s="20" t="str">
        <f ca="1">IF(NOT(ISBLANK($B$9)),TRIM(MID(SUBSTITUTE('Analysis Sheet'!$B$9,", ",REPT(" ",LEN('Analysis Sheet'!$B$9))),((COLUMNS('Analysis Sheet'!$B$9:$B$9)-(OFFSET('Values Table'!Y2,0,0)))*LEN('Analysis Sheet'!$B$9))+1,LEN('Analysis Sheet'!$B$9))))</f>
        <v/>
      </c>
      <c r="N9" s="20" t="str">
        <f ca="1">IF(NOT(ISBLANK($B$9)),TRIM(MID(SUBSTITUTE('Analysis Sheet'!$B$9,", ",REPT(" ",LEN('Analysis Sheet'!$B$9))),((COLUMNS('Analysis Sheet'!$B$9:$B$9)-(OFFSET('Values Table'!Z2,0,0)))*LEN('Analysis Sheet'!$B$9))+1,LEN('Analysis Sheet'!$B$9))))</f>
        <v/>
      </c>
      <c r="O9" s="20" t="str">
        <f ca="1">IF(NOT(ISBLANK($B$9)),TRIM(MID(SUBSTITUTE('Analysis Sheet'!$B$9,", ",REPT(" ",LEN('Analysis Sheet'!$B$9))),((COLUMNS('Analysis Sheet'!$B$9:$B$9)-(OFFSET('Values Table'!AA2,0,0)))*LEN('Analysis Sheet'!$B$9))+1,LEN('Analysis Sheet'!$B$9))))</f>
        <v/>
      </c>
      <c r="P9" s="20" t="str">
        <f ca="1">IF(NOT(ISBLANK($B$9)),TRIM(MID(SUBSTITUTE('Analysis Sheet'!$B$9,", ",REPT(" ",LEN('Analysis Sheet'!$B$9))),((COLUMNS('Analysis Sheet'!$B$9:$B$9)-(OFFSET('Values Table'!AB2,0,0)))*LEN('Analysis Sheet'!$B$9))+1,LEN('Analysis Sheet'!$B$9))))</f>
        <v/>
      </c>
      <c r="Q9" s="20" t="str">
        <f ca="1">IF(NOT(ISBLANK($B$9)),TRIM(MID(SUBSTITUTE('Analysis Sheet'!$B$9,", ",REPT(" ",LEN('Analysis Sheet'!$B$9))),((COLUMNS('Analysis Sheet'!$B$9:$B$9)-(OFFSET('Values Table'!AC2,0,0)))*LEN('Analysis Sheet'!$B$9))+1,LEN('Analysis Sheet'!$B$9))))</f>
        <v/>
      </c>
      <c r="R9" s="20" t="str">
        <f ca="1">IF(NOT(ISBLANK($B$9)),TRIM(MID(SUBSTITUTE('Analysis Sheet'!$B$9,", ",REPT(" ",LEN('Analysis Sheet'!$B$9))),((COLUMNS('Analysis Sheet'!$B$9:$B$9)-(OFFSET('Values Table'!AD2,0,0)))*LEN('Analysis Sheet'!$B$9))+1,LEN('Analysis Sheet'!$B$9))))</f>
        <v/>
      </c>
      <c r="S9" s="20" t="str">
        <f ca="1">IF(NOT(ISBLANK($B$9)),TRIM(MID(SUBSTITUTE('Analysis Sheet'!$B$9,", ",REPT(" ",LEN('Analysis Sheet'!$B$9))),((COLUMNS('Analysis Sheet'!$B$9:$B$9)-(OFFSET('Values Table'!AE2,0,0)))*LEN('Analysis Sheet'!$B$9))+1,LEN('Analysis Sheet'!$B$9))))</f>
        <v/>
      </c>
      <c r="T9" s="20" t="str">
        <f ca="1">IF(NOT(ISBLANK($B$9)),TRIM(MID(SUBSTITUTE('Analysis Sheet'!$B$9,", ",REPT(" ",LEN('Analysis Sheet'!$B$9))),((COLUMNS('Analysis Sheet'!$B$9:$B$9)-(OFFSET('Values Table'!AF2,0,0)))*LEN('Analysis Sheet'!$B$9))+1,LEN('Analysis Sheet'!$B$9))))</f>
        <v/>
      </c>
      <c r="U9" s="20" t="str">
        <f ca="1">IF(NOT(ISBLANK($B$9)),TRIM(MID(SUBSTITUTE('Analysis Sheet'!$B$9,", ",REPT(" ",LEN('Analysis Sheet'!$B$9))),((COLUMNS('Analysis Sheet'!$B$9:$B$9)-(OFFSET('Values Table'!AG2,0,0)))*LEN('Analysis Sheet'!$B$9))+1,LEN('Analysis Sheet'!$B$9))))</f>
        <v/>
      </c>
      <c r="V9" s="20" t="str">
        <f ca="1">IF(NOT(ISBLANK($B$9)),TRIM(MID(SUBSTITUTE('Analysis Sheet'!$B$9,", ",REPT(" ",LEN('Analysis Sheet'!$B$9))),((COLUMNS('Analysis Sheet'!$B$9:$B$9)-(OFFSET('Values Table'!AH2,0,0)))*LEN('Analysis Sheet'!$B$9))+1,LEN('Analysis Sheet'!$B$9))))</f>
        <v/>
      </c>
      <c r="W9" s="41"/>
      <c r="X9" s="20" t="str">
        <f ca="1">UNIQUE($C$4:$V$23, 6)</f>
        <v/>
      </c>
      <c r="Y9" s="20" t="str">
        <f ca="1">IFERROR(VLOOKUP('Analysis Sheet'!X9,'Values Table'!$A$2:$B$42,2,FALSE), "0")</f>
        <v>0</v>
      </c>
    </row>
    <row r="10" spans="1:34" s="20" customFormat="1" ht="21" customHeight="1" x14ac:dyDescent="0.3">
      <c r="A10" s="20" t="str">
        <f>UStrip('User Ranking Form'!A9)</f>
        <v/>
      </c>
      <c r="B10" s="44" t="str">
        <f>IFERROR(MatchWords('Analysis Sheet'!A10, 'Values Table'!$A$2:$B$42)," ")</f>
        <v xml:space="preserve"> </v>
      </c>
      <c r="C10" s="20" t="str">
        <f ca="1">IF(NOT(ISBLANK($B$10)),TRIM(MID(SUBSTITUTE('Analysis Sheet'!$B$10,", ",REPT(" ",LEN('Analysis Sheet'!$B$10))),((COLUMNS('Analysis Sheet'!$B$10:$B$10)-(OFFSET('Values Table'!O2,0,0)))*LEN('Analysis Sheet'!$B$10))+1,LEN('Analysis Sheet'!$B$10))))</f>
        <v/>
      </c>
      <c r="D10" s="20" t="str">
        <f ca="1">IF(NOT(ISBLANK($B$10)),TRIM(MID(SUBSTITUTE('Analysis Sheet'!$B$10,", ",REPT(" ",LEN('Analysis Sheet'!$B$10))),((COLUMNS('Analysis Sheet'!$B$10:$B$10)-(OFFSET('Values Table'!P2,0,0)))*LEN('Analysis Sheet'!$B$10))+1,LEN('Analysis Sheet'!$B$10))))</f>
        <v/>
      </c>
      <c r="E10" s="20" t="str">
        <f ca="1">IF(NOT(ISBLANK($B$10)),TRIM(MID(SUBSTITUTE('Analysis Sheet'!$B$10,", ",REPT(" ",LEN('Analysis Sheet'!$B$10))),((COLUMNS('Analysis Sheet'!$B$10:$B$10)-(OFFSET('Values Table'!Q2,0,0)))*LEN('Analysis Sheet'!$B$10))+1,LEN('Analysis Sheet'!$B$10))))</f>
        <v/>
      </c>
      <c r="F10" s="20" t="str">
        <f ca="1">IF(NOT(ISBLANK($B$10)),TRIM(MID(SUBSTITUTE('Analysis Sheet'!$B$10,", ",REPT(" ",LEN('Analysis Sheet'!$B$10))),((COLUMNS('Analysis Sheet'!$B$10:$B$10)-(OFFSET('Values Table'!R2,0,0)))*LEN('Analysis Sheet'!$B$10))+1,LEN('Analysis Sheet'!$B$10))))</f>
        <v/>
      </c>
      <c r="G10" s="20" t="str">
        <f ca="1">IF(NOT(ISBLANK($B$10)),TRIM(MID(SUBSTITUTE('Analysis Sheet'!$B$10,", ",REPT(" ",LEN('Analysis Sheet'!$B$10))),((COLUMNS('Analysis Sheet'!$B$10:$B$10)-(OFFSET('Values Table'!S2,0,0)))*LEN('Analysis Sheet'!$B$10))+1,LEN('Analysis Sheet'!$B$10))))</f>
        <v/>
      </c>
      <c r="H10" s="20" t="str">
        <f ca="1">IF(NOT(ISBLANK($B$10)),TRIM(MID(SUBSTITUTE('Analysis Sheet'!$B$10,", ",REPT(" ",LEN('Analysis Sheet'!$B$10))),((COLUMNS('Analysis Sheet'!$B$10:$B$10)-(OFFSET('Values Table'!T2,0,0)))*LEN('Analysis Sheet'!$B$10))+1,LEN('Analysis Sheet'!$B$10))))</f>
        <v/>
      </c>
      <c r="I10" s="20" t="str">
        <f ca="1">IF(NOT(ISBLANK($B$10)),TRIM(MID(SUBSTITUTE('Analysis Sheet'!$B$10,", ",REPT(" ",LEN('Analysis Sheet'!$B$10))),((COLUMNS('Analysis Sheet'!$B$10:$B$10)-(OFFSET('Values Table'!U2,0,0)))*LEN('Analysis Sheet'!$B$10))+1,LEN('Analysis Sheet'!$B$10))))</f>
        <v/>
      </c>
      <c r="J10" s="20" t="str">
        <f ca="1">IF(NOT(ISBLANK($B$10)),TRIM(MID(SUBSTITUTE('Analysis Sheet'!$B$10,", ",REPT(" ",LEN('Analysis Sheet'!$B$10))),((COLUMNS('Analysis Sheet'!$B$10:$B$10)-(OFFSET('Values Table'!V2,0,0)))*LEN('Analysis Sheet'!$B$10))+1,LEN('Analysis Sheet'!$B$10))))</f>
        <v/>
      </c>
      <c r="K10" s="20" t="str">
        <f ca="1">IF(NOT(ISBLANK($B$10)),TRIM(MID(SUBSTITUTE('Analysis Sheet'!$B$10,", ",REPT(" ",LEN('Analysis Sheet'!$B$10))),((COLUMNS('Analysis Sheet'!$B$10:$B$10)-(OFFSET('Values Table'!W2,0,0)))*LEN('Analysis Sheet'!$B$10))+1,LEN('Analysis Sheet'!$B$10))))</f>
        <v/>
      </c>
      <c r="L10" s="20" t="str">
        <f ca="1">IF(NOT(ISBLANK($B$10)),TRIM(MID(SUBSTITUTE('Analysis Sheet'!$B$10,", ",REPT(" ",LEN('Analysis Sheet'!$B$10))),((COLUMNS('Analysis Sheet'!$B$10:$B$10)-(OFFSET('Values Table'!X2,0,0)))*LEN('Analysis Sheet'!$B$10))+1,LEN('Analysis Sheet'!$B$10))))</f>
        <v/>
      </c>
      <c r="M10" s="20" t="str">
        <f ca="1">IF(NOT(ISBLANK($B$10)),TRIM(MID(SUBSTITUTE('Analysis Sheet'!$B$10,", ",REPT(" ",LEN('Analysis Sheet'!$B$10))),((COLUMNS('Analysis Sheet'!$B$10:$B$10)-(OFFSET('Values Table'!Y2,0,0)))*LEN('Analysis Sheet'!$B$10))+1,LEN('Analysis Sheet'!$B$10))))</f>
        <v/>
      </c>
      <c r="N10" s="20" t="str">
        <f ca="1">IF(NOT(ISBLANK($B$10)),TRIM(MID(SUBSTITUTE('Analysis Sheet'!$B$10,", ",REPT(" ",LEN('Analysis Sheet'!$B$10))),((COLUMNS('Analysis Sheet'!$B$10:$B$10)-(OFFSET('Values Table'!Z2,0,0)))*LEN('Analysis Sheet'!$B$10))+1,LEN('Analysis Sheet'!$B$10))))</f>
        <v/>
      </c>
      <c r="O10" s="20" t="str">
        <f ca="1">IF(NOT(ISBLANK($B$10)),TRIM(MID(SUBSTITUTE('Analysis Sheet'!$B$10,", ",REPT(" ",LEN('Analysis Sheet'!$B$10))),((COLUMNS('Analysis Sheet'!$B$10:$B$10)-(OFFSET('Values Table'!AA2,0,0)))*LEN('Analysis Sheet'!$B$10))+1,LEN('Analysis Sheet'!$B$10))))</f>
        <v/>
      </c>
      <c r="P10" s="20" t="str">
        <f ca="1">IF(NOT(ISBLANK($B$10)),TRIM(MID(SUBSTITUTE('Analysis Sheet'!$B$10,", ",REPT(" ",LEN('Analysis Sheet'!$B$10))),((COLUMNS('Analysis Sheet'!$B$10:$B$10)-(OFFSET('Values Table'!AB2,0,0)))*LEN('Analysis Sheet'!$B$10))+1,LEN('Analysis Sheet'!$B$10))))</f>
        <v/>
      </c>
      <c r="Q10" s="20" t="str">
        <f ca="1">IF(NOT(ISBLANK($B$10)),TRIM(MID(SUBSTITUTE('Analysis Sheet'!$B$10,", ",REPT(" ",LEN('Analysis Sheet'!$B$10))),((COLUMNS('Analysis Sheet'!$B$10:$B$10)-(OFFSET('Values Table'!AC2,0,0)))*LEN('Analysis Sheet'!$B$10))+1,LEN('Analysis Sheet'!$B$10))))</f>
        <v/>
      </c>
      <c r="R10" s="20" t="str">
        <f ca="1">IF(NOT(ISBLANK($B$10)),TRIM(MID(SUBSTITUTE('Analysis Sheet'!$B$10,", ",REPT(" ",LEN('Analysis Sheet'!$B$10))),((COLUMNS('Analysis Sheet'!$B$10:$B$10)-(OFFSET('Values Table'!AD2,0,0)))*LEN('Analysis Sheet'!$B$10))+1,LEN('Analysis Sheet'!$B$10))))</f>
        <v/>
      </c>
      <c r="S10" s="20" t="str">
        <f ca="1">IF(NOT(ISBLANK($B$10)),TRIM(MID(SUBSTITUTE('Analysis Sheet'!$B$10,", ",REPT(" ",LEN('Analysis Sheet'!$B$10))),((COLUMNS('Analysis Sheet'!$B$10:$B$10)-(OFFSET('Values Table'!AE2,0,0)))*LEN('Analysis Sheet'!$B$10))+1,LEN('Analysis Sheet'!$B$10))))</f>
        <v/>
      </c>
      <c r="T10" s="20" t="str">
        <f ca="1">IF(NOT(ISBLANK($B$10)),TRIM(MID(SUBSTITUTE('Analysis Sheet'!$B$10,", ",REPT(" ",LEN('Analysis Sheet'!$B$10))),((COLUMNS('Analysis Sheet'!$B$10:$B$10)-(OFFSET('Values Table'!AF2,0,0)))*LEN('Analysis Sheet'!$B$10))+1,LEN('Analysis Sheet'!$B$10))))</f>
        <v/>
      </c>
      <c r="U10" s="20" t="str">
        <f ca="1">IF(NOT(ISBLANK($B$10)),TRIM(MID(SUBSTITUTE('Analysis Sheet'!$B$10,", ",REPT(" ",LEN('Analysis Sheet'!$B$10))),((COLUMNS('Analysis Sheet'!$B$10:$B$10)-(OFFSET('Values Table'!AG2,0,0)))*LEN('Analysis Sheet'!$B$10))+1,LEN('Analysis Sheet'!$B$10))))</f>
        <v/>
      </c>
      <c r="V10" s="20" t="str">
        <f ca="1">IF(NOT(ISBLANK($B$10)),TRIM(MID(SUBSTITUTE('Analysis Sheet'!$B$10,", ",REPT(" ",LEN('Analysis Sheet'!$B$10))),((COLUMNS('Analysis Sheet'!$B$10:$B$10)-(OFFSET('Values Table'!AH2,0,0)))*LEN('Analysis Sheet'!$B$10))+1,LEN('Analysis Sheet'!$B$10))))</f>
        <v/>
      </c>
      <c r="W10" s="41"/>
      <c r="X10" s="20" t="str">
        <f ca="1">UNIQUE($C$4:$V$23, 7)</f>
        <v/>
      </c>
      <c r="Y10" s="20" t="str">
        <f ca="1">IFERROR(VLOOKUP('Analysis Sheet'!X10,'Values Table'!$A$2:$B$42,2,FALSE), "0")</f>
        <v>0</v>
      </c>
    </row>
    <row r="11" spans="1:34" s="20" customFormat="1" ht="16.5" customHeight="1" x14ac:dyDescent="0.3">
      <c r="A11" s="20" t="str">
        <f>UStrip('User Ranking Form'!A10)</f>
        <v/>
      </c>
      <c r="B11" s="44" t="str">
        <f>IFERROR(MatchWords('Analysis Sheet'!A11, 'Values Table'!$A$2:$B$42)," ")</f>
        <v xml:space="preserve"> </v>
      </c>
      <c r="C11" s="20" t="str">
        <f ca="1">IF(NOT(ISBLANK($B$11)),TRIM(MID(SUBSTITUTE('Analysis Sheet'!$B$11,", ",REPT(" ",LEN('Analysis Sheet'!$B$11))),((COLUMNS('Analysis Sheet'!$B$11:$B$11)-(OFFSET('Values Table'!O2,0,0)))*LEN('Analysis Sheet'!$B$11))+1,LEN('Analysis Sheet'!$B$11))))</f>
        <v/>
      </c>
      <c r="D11" s="20" t="str">
        <f ca="1">IF(NOT(ISBLANK($B$11)),TRIM(MID(SUBSTITUTE('Analysis Sheet'!$B$11,", ",REPT(" ",LEN('Analysis Sheet'!$B$11))),((COLUMNS('Analysis Sheet'!$B$11:$B$11)-(OFFSET('Values Table'!P2,0,0)))*LEN('Analysis Sheet'!$B$11))+1,LEN('Analysis Sheet'!$B$11))))</f>
        <v/>
      </c>
      <c r="E11" s="20" t="str">
        <f ca="1">IF(NOT(ISBLANK($B$11)),TRIM(MID(SUBSTITUTE('Analysis Sheet'!$B$11,", ",REPT(" ",LEN('Analysis Sheet'!$B$11))),((COLUMNS('Analysis Sheet'!$B$11:$B$11)-(OFFSET('Values Table'!Q2,0,0)))*LEN('Analysis Sheet'!$B$11))+1,LEN('Analysis Sheet'!$B$11))))</f>
        <v/>
      </c>
      <c r="F11" s="20" t="str">
        <f ca="1">IF(NOT(ISBLANK($B$11)),TRIM(MID(SUBSTITUTE('Analysis Sheet'!$B$11,", ",REPT(" ",LEN('Analysis Sheet'!$B$11))),((COLUMNS('Analysis Sheet'!$B$11:$B$11)-(OFFSET('Values Table'!R2,0,0)))*LEN('Analysis Sheet'!$B$11))+1,LEN('Analysis Sheet'!$B$11))))</f>
        <v/>
      </c>
      <c r="G11" s="20" t="str">
        <f ca="1">IF(NOT(ISBLANK($B$11)),TRIM(MID(SUBSTITUTE('Analysis Sheet'!$B$11,", ",REPT(" ",LEN('Analysis Sheet'!$B$11))),((COLUMNS('Analysis Sheet'!$B$11:$B$11)-(OFFSET('Values Table'!S2,0,0)))*LEN('Analysis Sheet'!$B$11))+1,LEN('Analysis Sheet'!$B$11))))</f>
        <v/>
      </c>
      <c r="H11" s="20" t="str">
        <f ca="1">IF(NOT(ISBLANK($B$11)),TRIM(MID(SUBSTITUTE('Analysis Sheet'!$B$11,", ",REPT(" ",LEN('Analysis Sheet'!$B$11))),((COLUMNS('Analysis Sheet'!$B$11:$B$11)-(OFFSET('Values Table'!T2,0,0)))*LEN('Analysis Sheet'!$B$11))+1,LEN('Analysis Sheet'!$B$11))))</f>
        <v/>
      </c>
      <c r="I11" s="20" t="str">
        <f ca="1">IF(NOT(ISBLANK($B$11)),TRIM(MID(SUBSTITUTE('Analysis Sheet'!$B$11,", ",REPT(" ",LEN('Analysis Sheet'!$B$11))),((COLUMNS('Analysis Sheet'!$B$11:$B$11)-(OFFSET('Values Table'!U2,0,0)))*LEN('Analysis Sheet'!$B$11))+1,LEN('Analysis Sheet'!$B$11))))</f>
        <v/>
      </c>
      <c r="J11" s="20" t="str">
        <f ca="1">IF(NOT(ISBLANK($B$11)),TRIM(MID(SUBSTITUTE('Analysis Sheet'!$B$11,", ",REPT(" ",LEN('Analysis Sheet'!$B$11))),((COLUMNS('Analysis Sheet'!$B$11:$B$11)-(OFFSET('Values Table'!V2,0,0)))*LEN('Analysis Sheet'!$B$11))+1,LEN('Analysis Sheet'!$B$11))))</f>
        <v/>
      </c>
      <c r="K11" s="20" t="str">
        <f ca="1">IF(NOT(ISBLANK($B$11)),TRIM(MID(SUBSTITUTE('Analysis Sheet'!$B$11,", ",REPT(" ",LEN('Analysis Sheet'!$B$11))),((COLUMNS('Analysis Sheet'!$B$11:$B$11)-(OFFSET('Values Table'!W2,0,0)))*LEN('Analysis Sheet'!$B$11))+1,LEN('Analysis Sheet'!$B$11))))</f>
        <v/>
      </c>
      <c r="L11" s="20" t="str">
        <f ca="1">IF(NOT(ISBLANK($B$11)),TRIM(MID(SUBSTITUTE('Analysis Sheet'!$B$11,", ",REPT(" ",LEN('Analysis Sheet'!$B$11))),((COLUMNS('Analysis Sheet'!$B$11:$B$11)-(OFFSET('Values Table'!X2,0,0)))*LEN('Analysis Sheet'!$B$11))+1,LEN('Analysis Sheet'!$B$11))))</f>
        <v/>
      </c>
      <c r="M11" s="20" t="str">
        <f ca="1">IF(NOT(ISBLANK($B$11)),TRIM(MID(SUBSTITUTE('Analysis Sheet'!$B$11,", ",REPT(" ",LEN('Analysis Sheet'!$B$11))),((COLUMNS('Analysis Sheet'!$B$11:$B$11)-(OFFSET('Values Table'!Y2,0,0)))*LEN('Analysis Sheet'!$B$11))+1,LEN('Analysis Sheet'!$B$11))))</f>
        <v/>
      </c>
      <c r="N11" s="20" t="str">
        <f ca="1">IF(NOT(ISBLANK($B$11)),TRIM(MID(SUBSTITUTE('Analysis Sheet'!$B$11,", ",REPT(" ",LEN('Analysis Sheet'!$B$11))),((COLUMNS('Analysis Sheet'!$B$11:$B$11)-(OFFSET('Values Table'!Z2,0,0)))*LEN('Analysis Sheet'!$B$11))+1,LEN('Analysis Sheet'!$B$11))))</f>
        <v/>
      </c>
      <c r="O11" s="20" t="str">
        <f ca="1">IF(NOT(ISBLANK($B$11)),TRIM(MID(SUBSTITUTE('Analysis Sheet'!$B$11,", ",REPT(" ",LEN('Analysis Sheet'!$B$11))),((COLUMNS('Analysis Sheet'!$B$11:$B$11)-(OFFSET('Values Table'!AA2,0,0)))*LEN('Analysis Sheet'!$B$11))+1,LEN('Analysis Sheet'!$B$11))))</f>
        <v/>
      </c>
      <c r="P11" s="20" t="str">
        <f ca="1">IF(NOT(ISBLANK($B$11)),TRIM(MID(SUBSTITUTE('Analysis Sheet'!$B$11,", ",REPT(" ",LEN('Analysis Sheet'!$B$11))),((COLUMNS('Analysis Sheet'!$B$11:$B$11)-(OFFSET('Values Table'!AB2,0,0)))*LEN('Analysis Sheet'!$B$11))+1,LEN('Analysis Sheet'!$B$11))))</f>
        <v/>
      </c>
      <c r="Q11" s="20" t="str">
        <f ca="1">IF(NOT(ISBLANK($B$11)),TRIM(MID(SUBSTITUTE('Analysis Sheet'!$B$11,", ",REPT(" ",LEN('Analysis Sheet'!$B$11))),((COLUMNS('Analysis Sheet'!$B$11:$B$11)-(OFFSET('Values Table'!AC2,0,0)))*LEN('Analysis Sheet'!$B$11))+1,LEN('Analysis Sheet'!$B$11))))</f>
        <v/>
      </c>
      <c r="R11" s="20" t="str">
        <f ca="1">IF(NOT(ISBLANK($B$11)),TRIM(MID(SUBSTITUTE('Analysis Sheet'!$B$11,", ",REPT(" ",LEN('Analysis Sheet'!$B$11))),((COLUMNS('Analysis Sheet'!$B$11:$B$11)-(OFFSET('Values Table'!AD2,0,0)))*LEN('Analysis Sheet'!$B$11))+1,LEN('Analysis Sheet'!$B$11))))</f>
        <v/>
      </c>
      <c r="S11" s="20" t="str">
        <f ca="1">IF(NOT(ISBLANK($B$11)),TRIM(MID(SUBSTITUTE('Analysis Sheet'!$B$11,", ",REPT(" ",LEN('Analysis Sheet'!$B$11))),((COLUMNS('Analysis Sheet'!$B$11:$B$11)-(OFFSET('Values Table'!AE2,0,0)))*LEN('Analysis Sheet'!$B$11))+1,LEN('Analysis Sheet'!$B$11))))</f>
        <v/>
      </c>
      <c r="T11" s="20" t="str">
        <f ca="1">IF(NOT(ISBLANK($B$11)),TRIM(MID(SUBSTITUTE('Analysis Sheet'!$B$11,", ",REPT(" ",LEN('Analysis Sheet'!$B$11))),((COLUMNS('Analysis Sheet'!$B$11:$B$11)-(OFFSET('Values Table'!AF2,0,0)))*LEN('Analysis Sheet'!$B$11))+1,LEN('Analysis Sheet'!$B$11))))</f>
        <v/>
      </c>
      <c r="U11" s="20" t="str">
        <f ca="1">IF(NOT(ISBLANK($B$11)),TRIM(MID(SUBSTITUTE('Analysis Sheet'!$B$11,", ",REPT(" ",LEN('Analysis Sheet'!$B$11))),((COLUMNS('Analysis Sheet'!$B$11:$B$11)-(OFFSET('Values Table'!AG2,0,0)))*LEN('Analysis Sheet'!$B$11))+1,LEN('Analysis Sheet'!$B$11))))</f>
        <v/>
      </c>
      <c r="V11" s="20" t="str">
        <f ca="1">IF(NOT(ISBLANK($B$11)),TRIM(MID(SUBSTITUTE('Analysis Sheet'!$B$11,", ",REPT(" ",LEN('Analysis Sheet'!$B$11))),((COLUMNS('Analysis Sheet'!$B$11:$B$11)-(OFFSET('Values Table'!AH2,0,0)))*LEN('Analysis Sheet'!$B$11))+1,LEN('Analysis Sheet'!$B$11))))</f>
        <v/>
      </c>
      <c r="W11" s="41"/>
      <c r="X11" s="20" t="str">
        <f ca="1">UNIQUE($C$4:$V$23, 8)</f>
        <v/>
      </c>
      <c r="Y11" s="20" t="str">
        <f ca="1">IFERROR(VLOOKUP('Analysis Sheet'!X11,'Values Table'!$A$2:$B$42,2,FALSE), "0")</f>
        <v>0</v>
      </c>
    </row>
    <row r="12" spans="1:34" s="20" customFormat="1" ht="17.25" customHeight="1" x14ac:dyDescent="0.3">
      <c r="A12" s="20" t="str">
        <f>UStrip('User Ranking Form'!A11)</f>
        <v/>
      </c>
      <c r="B12" s="44" t="str">
        <f>IFERROR(MatchWords('Analysis Sheet'!A12, 'Values Table'!$A$2:$B$42)," ")</f>
        <v xml:space="preserve"> </v>
      </c>
      <c r="C12" s="20" t="str">
        <f ca="1">IF(NOT(ISBLANK($B$12)),TRIM(MID(SUBSTITUTE('Analysis Sheet'!$B$12,", ",REPT(" ",LEN('Analysis Sheet'!$B$12))),((COLUMNS('Analysis Sheet'!$B$12:$B$12)-(OFFSET('Values Table'!O2,0,0)))*LEN('Analysis Sheet'!$B$12))+1,LEN('Analysis Sheet'!$B$12))))</f>
        <v/>
      </c>
      <c r="D12" s="20" t="str">
        <f ca="1">IF(NOT(ISBLANK($B$12)),TRIM(MID(SUBSTITUTE('Analysis Sheet'!$B$12,", ",REPT(" ",LEN('Analysis Sheet'!$B$12))),((COLUMNS('Analysis Sheet'!$B$12:$B$12)-(OFFSET('Values Table'!P2,0,0)))*LEN('Analysis Sheet'!$B$12))+1,LEN('Analysis Sheet'!$B$12))))</f>
        <v/>
      </c>
      <c r="E12" s="20" t="str">
        <f ca="1">IF(NOT(ISBLANK($B$12)),TRIM(MID(SUBSTITUTE('Analysis Sheet'!$B$12,", ",REPT(" ",LEN('Analysis Sheet'!$B$12))),((COLUMNS('Analysis Sheet'!$B$12:$B$12)-(OFFSET('Values Table'!Q2,0,0)))*LEN('Analysis Sheet'!$B$12))+1,LEN('Analysis Sheet'!$B$12))))</f>
        <v/>
      </c>
      <c r="F12" s="20" t="str">
        <f ca="1">IF(NOT(ISBLANK($B$12)),TRIM(MID(SUBSTITUTE('Analysis Sheet'!$B$12,", ",REPT(" ",LEN('Analysis Sheet'!$B$12))),((COLUMNS('Analysis Sheet'!$B$12:$B$12)-(OFFSET('Values Table'!R2,0,0)))*LEN('Analysis Sheet'!$B$12))+1,LEN('Analysis Sheet'!$B$12))))</f>
        <v/>
      </c>
      <c r="G12" s="20" t="str">
        <f ca="1">IF(NOT(ISBLANK($B$12)),TRIM(MID(SUBSTITUTE('Analysis Sheet'!$B$12,", ",REPT(" ",LEN('Analysis Sheet'!$B$12))),((COLUMNS('Analysis Sheet'!$B$12:$B$12)-(OFFSET('Values Table'!S2,0,0)))*LEN('Analysis Sheet'!$B$12))+1,LEN('Analysis Sheet'!$B$12))))</f>
        <v/>
      </c>
      <c r="H12" s="20" t="str">
        <f ca="1">IF(NOT(ISBLANK($B$12)),TRIM(MID(SUBSTITUTE('Analysis Sheet'!$B$12,", ",REPT(" ",LEN('Analysis Sheet'!$B$12))),((COLUMNS('Analysis Sheet'!$B$12:$B$12)-(OFFSET('Values Table'!T2,0,0)))*LEN('Analysis Sheet'!$B$12))+1,LEN('Analysis Sheet'!$B$12))))</f>
        <v/>
      </c>
      <c r="I12" s="20" t="str">
        <f ca="1">IF(NOT(ISBLANK($B$12)),TRIM(MID(SUBSTITUTE('Analysis Sheet'!$B$12,", ",REPT(" ",LEN('Analysis Sheet'!$B$12))),((COLUMNS('Analysis Sheet'!$B$12:$B$12)-(OFFSET('Values Table'!U2,0,0)))*LEN('Analysis Sheet'!$B$12))+1,LEN('Analysis Sheet'!$B$12))))</f>
        <v/>
      </c>
      <c r="J12" s="20" t="str">
        <f ca="1">IF(NOT(ISBLANK($B$12)),TRIM(MID(SUBSTITUTE('Analysis Sheet'!$B$12,", ",REPT(" ",LEN('Analysis Sheet'!$B$12))),((COLUMNS('Analysis Sheet'!$B$12:$B$12)-(OFFSET('Values Table'!V2,0,0)))*LEN('Analysis Sheet'!$B$12))+1,LEN('Analysis Sheet'!$B$12))))</f>
        <v/>
      </c>
      <c r="K12" s="20" t="str">
        <f ca="1">IF(NOT(ISBLANK($B$12)),TRIM(MID(SUBSTITUTE('Analysis Sheet'!$B$12,", ",REPT(" ",LEN('Analysis Sheet'!$B$12))),((COLUMNS('Analysis Sheet'!$B$12:$B$12)-(OFFSET('Values Table'!W2,0,0)))*LEN('Analysis Sheet'!$B$12))+1,LEN('Analysis Sheet'!$B$12))))</f>
        <v/>
      </c>
      <c r="L12" s="20" t="str">
        <f ca="1">IF(NOT(ISBLANK($B$12)),TRIM(MID(SUBSTITUTE('Analysis Sheet'!$B$12,", ",REPT(" ",LEN('Analysis Sheet'!$B$12))),((COLUMNS('Analysis Sheet'!$B$12:$B$12)-(OFFSET('Values Table'!X2,0,0)))*LEN('Analysis Sheet'!$B$12))+1,LEN('Analysis Sheet'!$B$12))))</f>
        <v/>
      </c>
      <c r="M12" s="20" t="str">
        <f ca="1">IF(NOT(ISBLANK($B$12)),TRIM(MID(SUBSTITUTE('Analysis Sheet'!$B$12,", ",REPT(" ",LEN('Analysis Sheet'!$B$12))),((COLUMNS('Analysis Sheet'!$B$12:$B$12)-(OFFSET('Values Table'!Y2,0,0)))*LEN('Analysis Sheet'!$B$12))+1,LEN('Analysis Sheet'!$B$12))))</f>
        <v/>
      </c>
      <c r="N12" s="20" t="str">
        <f ca="1">IF(NOT(ISBLANK($B$12)),TRIM(MID(SUBSTITUTE('Analysis Sheet'!$B$12,", ",REPT(" ",LEN('Analysis Sheet'!$B$12))),((COLUMNS('Analysis Sheet'!$B$12:$B$12)-(OFFSET('Values Table'!Z2,0,0)))*LEN('Analysis Sheet'!$B$12))+1,LEN('Analysis Sheet'!$B$12))))</f>
        <v/>
      </c>
      <c r="O12" s="20" t="str">
        <f ca="1">IF(NOT(ISBLANK($B$12)),TRIM(MID(SUBSTITUTE('Analysis Sheet'!$B$12,", ",REPT(" ",LEN('Analysis Sheet'!$B$12))),((COLUMNS('Analysis Sheet'!$B$12:$B$12)-(OFFSET('Values Table'!AA2,0,0)))*LEN('Analysis Sheet'!$B$12))+1,LEN('Analysis Sheet'!$B$12))))</f>
        <v/>
      </c>
      <c r="P12" s="20" t="str">
        <f ca="1">IF(NOT(ISBLANK($B$12)),TRIM(MID(SUBSTITUTE('Analysis Sheet'!$B$12,", ",REPT(" ",LEN('Analysis Sheet'!$B$12))),((COLUMNS('Analysis Sheet'!$B$12:$B$12)-(OFFSET('Values Table'!AB2,0,0)))*LEN('Analysis Sheet'!$B$12))+1,LEN('Analysis Sheet'!$B$12))))</f>
        <v/>
      </c>
      <c r="Q12" s="20" t="str">
        <f ca="1">IF(NOT(ISBLANK($B$12)),TRIM(MID(SUBSTITUTE('Analysis Sheet'!$B$12,", ",REPT(" ",LEN('Analysis Sheet'!$B$12))),((COLUMNS('Analysis Sheet'!$B$12:$B$12)-(OFFSET('Values Table'!AC2,0,0)))*LEN('Analysis Sheet'!$B$12))+1,LEN('Analysis Sheet'!$B$12))))</f>
        <v/>
      </c>
      <c r="R12" s="20" t="str">
        <f ca="1">IF(NOT(ISBLANK($B$12)),TRIM(MID(SUBSTITUTE('Analysis Sheet'!$B$12,", ",REPT(" ",LEN('Analysis Sheet'!$B$12))),((COLUMNS('Analysis Sheet'!$B$12:$B$12)-(OFFSET('Values Table'!AD2,0,0)))*LEN('Analysis Sheet'!$B$12))+1,LEN('Analysis Sheet'!$B$12))))</f>
        <v/>
      </c>
      <c r="S12" s="20" t="str">
        <f ca="1">IF(NOT(ISBLANK($B$12)),TRIM(MID(SUBSTITUTE('Analysis Sheet'!$B$12,", ",REPT(" ",LEN('Analysis Sheet'!$B$12))),((COLUMNS('Analysis Sheet'!$B$12:$B$12)-(OFFSET('Values Table'!AE2,0,0)))*LEN('Analysis Sheet'!$B$12))+1,LEN('Analysis Sheet'!$B$12))))</f>
        <v/>
      </c>
      <c r="T12" s="20" t="str">
        <f ca="1">IF(NOT(ISBLANK($B$12)),TRIM(MID(SUBSTITUTE('Analysis Sheet'!$B$12,", ",REPT(" ",LEN('Analysis Sheet'!$B$12))),((COLUMNS('Analysis Sheet'!$B$12:$B$12)-(OFFSET('Values Table'!AF2,0,0)))*LEN('Analysis Sheet'!$B$12))+1,LEN('Analysis Sheet'!$B$12))))</f>
        <v/>
      </c>
      <c r="U12" s="20" t="str">
        <f ca="1">IF(NOT(ISBLANK($B$12)),TRIM(MID(SUBSTITUTE('Analysis Sheet'!$B$12,", ",REPT(" ",LEN('Analysis Sheet'!$B$12))),((COLUMNS('Analysis Sheet'!$B$12:$B$12)-(OFFSET('Values Table'!AG2,0,0)))*LEN('Analysis Sheet'!$B$12))+1,LEN('Analysis Sheet'!$B$12))))</f>
        <v/>
      </c>
      <c r="V12" s="20" t="str">
        <f ca="1">IF(NOT(ISBLANK($B$12)),TRIM(MID(SUBSTITUTE('Analysis Sheet'!$B$12,", ",REPT(" ",LEN('Analysis Sheet'!$B$12))),((COLUMNS('Analysis Sheet'!$B$12:$B$12)-(OFFSET('Values Table'!AH2,0,0)))*LEN('Analysis Sheet'!$B$12))+1,LEN('Analysis Sheet'!$B$12))))</f>
        <v/>
      </c>
      <c r="W12" s="41"/>
      <c r="X12" s="20" t="str">
        <f ca="1">UNIQUE($C$4:$V$23, 9)</f>
        <v/>
      </c>
      <c r="Y12" s="20" t="str">
        <f ca="1">IFERROR(VLOOKUP('Analysis Sheet'!X12,'Values Table'!$A$2:$B$42,2,FALSE), "0")</f>
        <v>0</v>
      </c>
    </row>
    <row r="13" spans="1:34" s="20" customFormat="1" ht="20.25" customHeight="1" x14ac:dyDescent="0.3">
      <c r="A13" s="20" t="str">
        <f>UStrip('User Ranking Form'!A12)</f>
        <v/>
      </c>
      <c r="B13" s="44" t="str">
        <f>IFERROR(MatchWords('Analysis Sheet'!A13, 'Values Table'!$A$2:$B$42)," ")</f>
        <v xml:space="preserve"> </v>
      </c>
      <c r="C13" s="20" t="str">
        <f ca="1">IF(NOT(ISBLANK($B$13)),TRIM(MID(SUBSTITUTE('Analysis Sheet'!$B$13,", ",REPT(" ",LEN('Analysis Sheet'!$B$13))),((COLUMNS('Analysis Sheet'!$B$13:$B$13)-(OFFSET('Values Table'!O2,0,0)))*LEN('Analysis Sheet'!$B$13))+1,LEN('Analysis Sheet'!$B$13))))</f>
        <v/>
      </c>
      <c r="D13" s="20" t="str">
        <f ca="1">IF(NOT(ISBLANK($B$13)),TRIM(MID(SUBSTITUTE('Analysis Sheet'!$B$13,", ",REPT(" ",LEN('Analysis Sheet'!$B$13))),((COLUMNS('Analysis Sheet'!$B$13:$B$13)-(OFFSET('Values Table'!P2,0,0)))*LEN('Analysis Sheet'!$B$13))+1,LEN('Analysis Sheet'!$B$13))))</f>
        <v/>
      </c>
      <c r="E13" s="20" t="str">
        <f ca="1">IF(NOT(ISBLANK($B$13)),TRIM(MID(SUBSTITUTE('Analysis Sheet'!$B$13,", ",REPT(" ",LEN('Analysis Sheet'!$B$13))),((COLUMNS('Analysis Sheet'!$B$13:$B$13)-(OFFSET('Values Table'!Q2,0,0)))*LEN('Analysis Sheet'!$B$13))+1,LEN('Analysis Sheet'!$B$13))))</f>
        <v/>
      </c>
      <c r="F13" s="20" t="str">
        <f ca="1">IF(NOT(ISBLANK($B$13)),TRIM(MID(SUBSTITUTE('Analysis Sheet'!$B$13,", ",REPT(" ",LEN('Analysis Sheet'!$B$13))),((COLUMNS('Analysis Sheet'!$B$13:$B$13)-(OFFSET('Values Table'!R2,0,0)))*LEN('Analysis Sheet'!$B$13))+1,LEN('Analysis Sheet'!$B$13))))</f>
        <v/>
      </c>
      <c r="G13" s="20" t="str">
        <f ca="1">IF(NOT(ISBLANK($B$13)),TRIM(MID(SUBSTITUTE('Analysis Sheet'!$B$13,", ",REPT(" ",LEN('Analysis Sheet'!$B$13))),((COLUMNS('Analysis Sheet'!$B$13:$B$13)-(OFFSET('Values Table'!S2,0,0)))*LEN('Analysis Sheet'!$B$13))+1,LEN('Analysis Sheet'!$B$13))))</f>
        <v/>
      </c>
      <c r="H13" s="20" t="str">
        <f ca="1">IF(NOT(ISBLANK($B$13)),TRIM(MID(SUBSTITUTE('Analysis Sheet'!$B$13,", ",REPT(" ",LEN('Analysis Sheet'!$B$13))),((COLUMNS('Analysis Sheet'!$B$13:$B$13)-(OFFSET('Values Table'!T2,0,0)))*LEN('Analysis Sheet'!$B$13))+1,LEN('Analysis Sheet'!$B$13))))</f>
        <v/>
      </c>
      <c r="I13" s="20" t="str">
        <f ca="1">IF(NOT(ISBLANK($B$13)),TRIM(MID(SUBSTITUTE('Analysis Sheet'!$B$13,", ",REPT(" ",LEN('Analysis Sheet'!$B$13))),((COLUMNS('Analysis Sheet'!$B$13:$B$13)-(OFFSET('Values Table'!U2,0,0)))*LEN('Analysis Sheet'!$B$13))+1,LEN('Analysis Sheet'!$B$13))))</f>
        <v/>
      </c>
      <c r="J13" s="20" t="str">
        <f ca="1">IF(NOT(ISBLANK($B$13)),TRIM(MID(SUBSTITUTE('Analysis Sheet'!$B$13,", ",REPT(" ",LEN('Analysis Sheet'!$B$13))),((COLUMNS('Analysis Sheet'!$B$13:$B$13)-(OFFSET('Values Table'!V2,0,0)))*LEN('Analysis Sheet'!$B$13))+1,LEN('Analysis Sheet'!$B$13))))</f>
        <v/>
      </c>
      <c r="K13" s="20" t="str">
        <f ca="1">IF(NOT(ISBLANK($B$13)),TRIM(MID(SUBSTITUTE('Analysis Sheet'!$B$13,", ",REPT(" ",LEN('Analysis Sheet'!$B$13))),((COLUMNS('Analysis Sheet'!$B$13:$B$13)-(OFFSET('Values Table'!W2,0,0)))*LEN('Analysis Sheet'!$B$13))+1,LEN('Analysis Sheet'!$B$13))))</f>
        <v/>
      </c>
      <c r="L13" s="20" t="str">
        <f ca="1">IF(NOT(ISBLANK($B$13)),TRIM(MID(SUBSTITUTE('Analysis Sheet'!$B$13,", ",REPT(" ",LEN('Analysis Sheet'!$B$13))),((COLUMNS('Analysis Sheet'!$B$13:$B$13)-(OFFSET('Values Table'!X2,0,0)))*LEN('Analysis Sheet'!$B$13))+1,LEN('Analysis Sheet'!$B$13))))</f>
        <v/>
      </c>
      <c r="M13" s="20" t="str">
        <f ca="1">IF(NOT(ISBLANK($B$13)),TRIM(MID(SUBSTITUTE('Analysis Sheet'!$B$13,", ",REPT(" ",LEN('Analysis Sheet'!$B$13))),((COLUMNS('Analysis Sheet'!$B$13:$B$13)-(OFFSET('Values Table'!Y2,0,0)))*LEN('Analysis Sheet'!$B$13))+1,LEN('Analysis Sheet'!$B$13))))</f>
        <v/>
      </c>
      <c r="N13" s="20" t="str">
        <f ca="1">IF(NOT(ISBLANK($B$13)),TRIM(MID(SUBSTITUTE('Analysis Sheet'!$B$13,", ",REPT(" ",LEN('Analysis Sheet'!$B$13))),((COLUMNS('Analysis Sheet'!$B$13:$B$13)-(OFFSET('Values Table'!Z2,0,0)))*LEN('Analysis Sheet'!$B$13))+1,LEN('Analysis Sheet'!$B$13))))</f>
        <v/>
      </c>
      <c r="O13" s="20" t="str">
        <f ca="1">IF(NOT(ISBLANK($B$13)),TRIM(MID(SUBSTITUTE('Analysis Sheet'!$B$13,", ",REPT(" ",LEN('Analysis Sheet'!$B$13))),((COLUMNS('Analysis Sheet'!$B$13:$B$13)-(OFFSET('Values Table'!AA2,0,0)))*LEN('Analysis Sheet'!$B$13))+1,LEN('Analysis Sheet'!$B$13))))</f>
        <v/>
      </c>
      <c r="P13" s="20" t="str">
        <f ca="1">IF(NOT(ISBLANK($B$13)),TRIM(MID(SUBSTITUTE('Analysis Sheet'!$B$13,", ",REPT(" ",LEN('Analysis Sheet'!$B$13))),((COLUMNS('Analysis Sheet'!$B$13:$B$13)-(OFFSET('Values Table'!AB2,0,0)))*LEN('Analysis Sheet'!$B$13))+1,LEN('Analysis Sheet'!$B$13))))</f>
        <v/>
      </c>
      <c r="Q13" s="20" t="str">
        <f ca="1">IF(NOT(ISBLANK($B$13)),TRIM(MID(SUBSTITUTE('Analysis Sheet'!$B$13,", ",REPT(" ",LEN('Analysis Sheet'!$B$13))),((COLUMNS('Analysis Sheet'!$B$13:$B$13)-(OFFSET('Values Table'!AC2,0,0)))*LEN('Analysis Sheet'!$B$13))+1,LEN('Analysis Sheet'!$B$13))))</f>
        <v/>
      </c>
      <c r="R13" s="20" t="str">
        <f ca="1">IF(NOT(ISBLANK($B$13)),TRIM(MID(SUBSTITUTE('Analysis Sheet'!$B$13,", ",REPT(" ",LEN('Analysis Sheet'!$B$13))),((COLUMNS('Analysis Sheet'!$B$13:$B$13)-(OFFSET('Values Table'!AD2,0,0)))*LEN('Analysis Sheet'!$B$13))+1,LEN('Analysis Sheet'!$B$13))))</f>
        <v/>
      </c>
      <c r="S13" s="20" t="str">
        <f ca="1">IF(NOT(ISBLANK($B$13)),TRIM(MID(SUBSTITUTE('Analysis Sheet'!$B$13,", ",REPT(" ",LEN('Analysis Sheet'!$B$13))),((COLUMNS('Analysis Sheet'!$B$13:$B$13)-(OFFSET('Values Table'!AE2,0,0)))*LEN('Analysis Sheet'!$B$13))+1,LEN('Analysis Sheet'!$B$13))))</f>
        <v/>
      </c>
      <c r="T13" s="20" t="str">
        <f ca="1">IF(NOT(ISBLANK($B$13)),TRIM(MID(SUBSTITUTE('Analysis Sheet'!$B$13,", ",REPT(" ",LEN('Analysis Sheet'!$B$13))),((COLUMNS('Analysis Sheet'!$B$13:$B$13)-(OFFSET('Values Table'!AF2,0,0)))*LEN('Analysis Sheet'!$B$13))+1,LEN('Analysis Sheet'!$B$13))))</f>
        <v/>
      </c>
      <c r="U13" s="20" t="str">
        <f ca="1">IF(NOT(ISBLANK($B$13)),TRIM(MID(SUBSTITUTE('Analysis Sheet'!$B$13,", ",REPT(" ",LEN('Analysis Sheet'!$B$13))),((COLUMNS('Analysis Sheet'!$B$13:$B$13)-(OFFSET('Values Table'!AG2,0,0)))*LEN('Analysis Sheet'!$B$13))+1,LEN('Analysis Sheet'!$B$13))))</f>
        <v/>
      </c>
      <c r="V13" s="20" t="str">
        <f ca="1">IF(NOT(ISBLANK($B$13)),TRIM(MID(SUBSTITUTE('Analysis Sheet'!$B$13,", ",REPT(" ",LEN('Analysis Sheet'!$B$13))),((COLUMNS('Analysis Sheet'!$B$13:$B$13)-(OFFSET('Values Table'!AH2,0,0)))*LEN('Analysis Sheet'!$B$13))+1,LEN('Analysis Sheet'!$B$13))))</f>
        <v/>
      </c>
      <c r="W13" s="41"/>
      <c r="X13" s="20" t="str">
        <f ca="1">UNIQUE($C$4:$V$23, 10)</f>
        <v/>
      </c>
      <c r="Y13" s="20" t="str">
        <f ca="1">IFERROR(VLOOKUP('Analysis Sheet'!X13,'Values Table'!$A$2:$B$42,2,FALSE), "0")</f>
        <v>0</v>
      </c>
    </row>
    <row r="14" spans="1:34" s="20" customFormat="1" x14ac:dyDescent="0.3">
      <c r="A14" s="20" t="str">
        <f>UStrip('User Ranking Form'!A13)</f>
        <v/>
      </c>
      <c r="B14" s="44" t="str">
        <f>IFERROR(MatchWords('Analysis Sheet'!A14, 'Values Table'!$A$2:$B$42)," ")</f>
        <v xml:space="preserve"> </v>
      </c>
      <c r="C14" s="20" t="str">
        <f ca="1">IF(NOT(ISBLANK($B$14)),TRIM(MID(SUBSTITUTE('Analysis Sheet'!$B$14,", ",REPT(" ",LEN('Analysis Sheet'!$B$14))),((COLUMNS('Analysis Sheet'!$B$14:$B$14)-(OFFSET('Values Table'!O2,0,0)))*LEN('Analysis Sheet'!$B$14))+1,LEN('Analysis Sheet'!$B$14))))</f>
        <v/>
      </c>
      <c r="D14" s="20" t="str">
        <f ca="1">IF(NOT(ISBLANK($B$14)),TRIM(MID(SUBSTITUTE('Analysis Sheet'!$B$14,", ",REPT(" ",LEN('Analysis Sheet'!$B$14))),((COLUMNS('Analysis Sheet'!$B$14:$B$14)-(OFFSET('Values Table'!P2,0,0)))*LEN('Analysis Sheet'!$B$14))+1,LEN('Analysis Sheet'!$B$14))))</f>
        <v/>
      </c>
      <c r="E14" s="20" t="str">
        <f ca="1">IF(NOT(ISBLANK($B$14)),TRIM(MID(SUBSTITUTE('Analysis Sheet'!$B$14,", ",REPT(" ",LEN('Analysis Sheet'!$B$14))),((COLUMNS('Analysis Sheet'!$B$14:$B$14)-(OFFSET('Values Table'!Q2,0,0)))*LEN('Analysis Sheet'!$B$14))+1,LEN('Analysis Sheet'!$B$14))))</f>
        <v/>
      </c>
      <c r="F14" s="20" t="str">
        <f ca="1">IF(NOT(ISBLANK($B$14)),TRIM(MID(SUBSTITUTE('Analysis Sheet'!$B$14,", ",REPT(" ",LEN('Analysis Sheet'!$B$14))),((COLUMNS('Analysis Sheet'!$B$14:$B$14)-(OFFSET('Values Table'!R2,0,0)))*LEN('Analysis Sheet'!$B$14))+1,LEN('Analysis Sheet'!$B$14))))</f>
        <v/>
      </c>
      <c r="G14" s="20" t="str">
        <f ca="1">IF(NOT(ISBLANK($B$14)),TRIM(MID(SUBSTITUTE('Analysis Sheet'!$B$14,", ",REPT(" ",LEN('Analysis Sheet'!$B$14))),((COLUMNS('Analysis Sheet'!$B$14:$B$14)-(OFFSET('Values Table'!S2,0,0)))*LEN('Analysis Sheet'!$B$14))+1,LEN('Analysis Sheet'!$B$14))))</f>
        <v/>
      </c>
      <c r="H14" s="20" t="str">
        <f ca="1">IF(NOT(ISBLANK($B$14)),TRIM(MID(SUBSTITUTE('Analysis Sheet'!$B$14,", ",REPT(" ",LEN('Analysis Sheet'!$B$14))),((COLUMNS('Analysis Sheet'!$B$14:$B$14)-(OFFSET('Values Table'!T2,0,0)))*LEN('Analysis Sheet'!$B$14))+1,LEN('Analysis Sheet'!$B$14))))</f>
        <v/>
      </c>
      <c r="I14" s="20" t="str">
        <f ca="1">IF(NOT(ISBLANK($B$14)),TRIM(MID(SUBSTITUTE('Analysis Sheet'!$B$14,", ",REPT(" ",LEN('Analysis Sheet'!$B$14))),((COLUMNS('Analysis Sheet'!$B$14:$B$14)-(OFFSET('Values Table'!U2,0,0)))*LEN('Analysis Sheet'!$B$14))+1,LEN('Analysis Sheet'!$B$14))))</f>
        <v/>
      </c>
      <c r="J14" s="20" t="str">
        <f ca="1">IF(NOT(ISBLANK($B$14)),TRIM(MID(SUBSTITUTE('Analysis Sheet'!$B$14,", ",REPT(" ",LEN('Analysis Sheet'!$B$14))),((COLUMNS('Analysis Sheet'!$B$14:$B$14)-(OFFSET('Values Table'!V2,0,0)))*LEN('Analysis Sheet'!$B$14))+1,LEN('Analysis Sheet'!$B$14))))</f>
        <v/>
      </c>
      <c r="K14" s="20" t="str">
        <f ca="1">IF(NOT(ISBLANK($B$14)),TRIM(MID(SUBSTITUTE('Analysis Sheet'!$B$14,", ",REPT(" ",LEN('Analysis Sheet'!$B$14))),((COLUMNS('Analysis Sheet'!$B$14:$B$14)-(OFFSET('Values Table'!W2,0,0)))*LEN('Analysis Sheet'!$B$14))+1,LEN('Analysis Sheet'!$B$14))))</f>
        <v/>
      </c>
      <c r="L14" s="20" t="str">
        <f ca="1">IF(NOT(ISBLANK($B$14)),TRIM(MID(SUBSTITUTE('Analysis Sheet'!$B$14,", ",REPT(" ",LEN('Analysis Sheet'!$B$14))),((COLUMNS('Analysis Sheet'!$B$14:$B$14)-(OFFSET('Values Table'!X2,0,0)))*LEN('Analysis Sheet'!$B$14))+1,LEN('Analysis Sheet'!$B$14))))</f>
        <v/>
      </c>
      <c r="M14" s="20" t="str">
        <f ca="1">IF(NOT(ISBLANK($B$14)),TRIM(MID(SUBSTITUTE('Analysis Sheet'!$B$14,", ",REPT(" ",LEN('Analysis Sheet'!$B$14))),((COLUMNS('Analysis Sheet'!$B$14:$B$14)-(OFFSET('Values Table'!Y2,0,0)))*LEN('Analysis Sheet'!$B$14))+1,LEN('Analysis Sheet'!$B$14))))</f>
        <v/>
      </c>
      <c r="N14" s="20" t="str">
        <f ca="1">IF(NOT(ISBLANK($B$14)),TRIM(MID(SUBSTITUTE('Analysis Sheet'!$B$14,", ",REPT(" ",LEN('Analysis Sheet'!$B$14))),((COLUMNS('Analysis Sheet'!$B$14:$B$14)-(OFFSET('Values Table'!Z2,0,0)))*LEN('Analysis Sheet'!$B$14))+1,LEN('Analysis Sheet'!$B$14))))</f>
        <v/>
      </c>
      <c r="O14" s="20" t="str">
        <f ca="1">IF(NOT(ISBLANK($B$14)),TRIM(MID(SUBSTITUTE('Analysis Sheet'!$B$14,", ",REPT(" ",LEN('Analysis Sheet'!$B$14))),((COLUMNS('Analysis Sheet'!$B$14:$B$14)-(OFFSET('Values Table'!AA2,0,0)))*LEN('Analysis Sheet'!$B$14))+1,LEN('Analysis Sheet'!$B$14))))</f>
        <v/>
      </c>
      <c r="P14" s="20" t="str">
        <f ca="1">IF(NOT(ISBLANK($B$14)),TRIM(MID(SUBSTITUTE('Analysis Sheet'!$B$14,", ",REPT(" ",LEN('Analysis Sheet'!$B$14))),((COLUMNS('Analysis Sheet'!$B$14:$B$14)-(OFFSET('Values Table'!AB2,0,0)))*LEN('Analysis Sheet'!$B$14))+1,LEN('Analysis Sheet'!$B$14))))</f>
        <v/>
      </c>
      <c r="Q14" s="20" t="str">
        <f ca="1">IF(NOT(ISBLANK($B$14)),TRIM(MID(SUBSTITUTE('Analysis Sheet'!$B$14,", ",REPT(" ",LEN('Analysis Sheet'!$B$14))),((COLUMNS('Analysis Sheet'!$B$14:$B$14)-(OFFSET('Values Table'!AC2,0,0)))*LEN('Analysis Sheet'!$B$14))+1,LEN('Analysis Sheet'!$B$14))))</f>
        <v/>
      </c>
      <c r="R14" s="20" t="str">
        <f ca="1">IF(NOT(ISBLANK($B$14)),TRIM(MID(SUBSTITUTE('Analysis Sheet'!$B$14,", ",REPT(" ",LEN('Analysis Sheet'!$B$14))),((COLUMNS('Analysis Sheet'!$B$14:$B$14)-(OFFSET('Values Table'!AD2,0,0)))*LEN('Analysis Sheet'!$B$14))+1,LEN('Analysis Sheet'!$B$14))))</f>
        <v/>
      </c>
      <c r="S14" s="20" t="str">
        <f ca="1">IF(NOT(ISBLANK($B$14)),TRIM(MID(SUBSTITUTE('Analysis Sheet'!$B$14,", ",REPT(" ",LEN('Analysis Sheet'!$B$14))),((COLUMNS('Analysis Sheet'!$B$14:$B$14)-(OFFSET('Values Table'!AE2,0,0)))*LEN('Analysis Sheet'!$B$14))+1,LEN('Analysis Sheet'!$B$14))))</f>
        <v/>
      </c>
      <c r="T14" s="20" t="str">
        <f ca="1">IF(NOT(ISBLANK($B$14)),TRIM(MID(SUBSTITUTE('Analysis Sheet'!$B$14,", ",REPT(" ",LEN('Analysis Sheet'!$B$14))),((COLUMNS('Analysis Sheet'!$B$14:$B$14)-(OFFSET('Values Table'!AF2,0,0)))*LEN('Analysis Sheet'!$B$14))+1,LEN('Analysis Sheet'!$B$14))))</f>
        <v/>
      </c>
      <c r="U14" s="20" t="str">
        <f ca="1">IF(NOT(ISBLANK($B$14)),TRIM(MID(SUBSTITUTE('Analysis Sheet'!$B$14,", ",REPT(" ",LEN('Analysis Sheet'!$B$14))),((COLUMNS('Analysis Sheet'!$B$14:$B$14)-(OFFSET('Values Table'!AG2,0,0)))*LEN('Analysis Sheet'!$B$14))+1,LEN('Analysis Sheet'!$B$14))))</f>
        <v/>
      </c>
      <c r="V14" s="20" t="str">
        <f ca="1">IF(NOT(ISBLANK($B$14)),TRIM(MID(SUBSTITUTE('Analysis Sheet'!$B$14,", ",REPT(" ",LEN('Analysis Sheet'!$B$14))),((COLUMNS('Analysis Sheet'!$B$14:$B$14)-(OFFSET('Values Table'!AH2,0,0)))*LEN('Analysis Sheet'!$B$14))+1,LEN('Analysis Sheet'!$B$14))))</f>
        <v/>
      </c>
      <c r="W14" s="41"/>
      <c r="X14" s="20" t="str">
        <f ca="1">UNIQUE($C$4:$V$23, 11)</f>
        <v/>
      </c>
      <c r="Y14" s="20" t="str">
        <f ca="1">IFERROR(VLOOKUP('Analysis Sheet'!X14,'Values Table'!$A$2:$B$42,2,FALSE), "0")</f>
        <v>0</v>
      </c>
    </row>
    <row r="15" spans="1:34" s="20" customFormat="1" x14ac:dyDescent="0.3">
      <c r="A15" s="20" t="str">
        <f>UStrip('User Ranking Form'!A14)</f>
        <v/>
      </c>
      <c r="B15" s="44" t="str">
        <f>IFERROR(MatchWords('Analysis Sheet'!A15, 'Values Table'!$A$2:$B$42)," ")</f>
        <v xml:space="preserve"> </v>
      </c>
      <c r="C15" s="20" t="str">
        <f ca="1">IF(NOT(ISBLANK($B$15)),TRIM(MID(SUBSTITUTE('Analysis Sheet'!$B$15,", ",REPT(" ",LEN('Analysis Sheet'!$B$15))),((COLUMNS('Analysis Sheet'!$B$15:$B$15)-(OFFSET('Values Table'!O2,0,0)))*LEN('Analysis Sheet'!$B$15))+1,LEN('Analysis Sheet'!$B$15))))</f>
        <v/>
      </c>
      <c r="D15" s="20" t="str">
        <f ca="1">IF(NOT(ISBLANK($B$15)),TRIM(MID(SUBSTITUTE('Analysis Sheet'!$B$15,", ",REPT(" ",LEN('Analysis Sheet'!$B$15))),((COLUMNS('Analysis Sheet'!$B$15:$B$15)-(OFFSET('Values Table'!P2,0,0)))*LEN('Analysis Sheet'!$B$15))+1,LEN('Analysis Sheet'!$B$15))))</f>
        <v/>
      </c>
      <c r="E15" s="20" t="str">
        <f ca="1">IF(NOT(ISBLANK($B$15)),TRIM(MID(SUBSTITUTE('Analysis Sheet'!$B$15,", ",REPT(" ",LEN('Analysis Sheet'!$B$15))),((COLUMNS('Analysis Sheet'!$B$15:$B$15)-(OFFSET('Values Table'!Q2,0,0)))*LEN('Analysis Sheet'!$B$15))+1,LEN('Analysis Sheet'!$B$15))))</f>
        <v/>
      </c>
      <c r="F15" s="20" t="str">
        <f ca="1">IF(NOT(ISBLANK($B$15)),TRIM(MID(SUBSTITUTE('Analysis Sheet'!$B$15,", ",REPT(" ",LEN('Analysis Sheet'!$B$15))),((COLUMNS('Analysis Sheet'!$B$15:$B$15)-(OFFSET('Values Table'!R2,0,0)))*LEN('Analysis Sheet'!$B$15))+1,LEN('Analysis Sheet'!$B$15))))</f>
        <v/>
      </c>
      <c r="G15" s="20" t="str">
        <f ca="1">IF(NOT(ISBLANK($B$15)),TRIM(MID(SUBSTITUTE('Analysis Sheet'!$B$15,", ",REPT(" ",LEN('Analysis Sheet'!$B$15))),((COLUMNS('Analysis Sheet'!$B$15:$B$15)-(OFFSET('Values Table'!S2,0,0)))*LEN('Analysis Sheet'!$B$15))+1,LEN('Analysis Sheet'!$B$15))))</f>
        <v/>
      </c>
      <c r="H15" s="20" t="str">
        <f ca="1">IF(NOT(ISBLANK($B$15)),TRIM(MID(SUBSTITUTE('Analysis Sheet'!$B$15,", ",REPT(" ",LEN('Analysis Sheet'!$B$15))),((COLUMNS('Analysis Sheet'!$B$15:$B$15)-(OFFSET('Values Table'!T2,0,0)))*LEN('Analysis Sheet'!$B$15))+1,LEN('Analysis Sheet'!$B$15))))</f>
        <v/>
      </c>
      <c r="I15" s="20" t="str">
        <f ca="1">IF(NOT(ISBLANK($B$15)),TRIM(MID(SUBSTITUTE('Analysis Sheet'!$B$15,", ",REPT(" ",LEN('Analysis Sheet'!$B$15))),((COLUMNS('Analysis Sheet'!$B$15:$B$15)-(OFFSET('Values Table'!U2,0,0)))*LEN('Analysis Sheet'!$B$15))+1,LEN('Analysis Sheet'!$B$15))))</f>
        <v/>
      </c>
      <c r="J15" s="20" t="str">
        <f ca="1">IF(NOT(ISBLANK($B$15)),TRIM(MID(SUBSTITUTE('Analysis Sheet'!$B$15,", ",REPT(" ",LEN('Analysis Sheet'!$B$15))),((COLUMNS('Analysis Sheet'!$B$15:$B$15)-(OFFSET('Values Table'!V2,0,0)))*LEN('Analysis Sheet'!$B$15))+1,LEN('Analysis Sheet'!$B$15))))</f>
        <v/>
      </c>
      <c r="K15" s="20" t="str">
        <f ca="1">IF(NOT(ISBLANK($B$15)),TRIM(MID(SUBSTITUTE('Analysis Sheet'!$B$15,", ",REPT(" ",LEN('Analysis Sheet'!$B$15))),((COLUMNS('Analysis Sheet'!$B$15:$B$15)-(OFFSET('Values Table'!W2,0,0)))*LEN('Analysis Sheet'!$B$15))+1,LEN('Analysis Sheet'!$B$15))))</f>
        <v/>
      </c>
      <c r="L15" s="20" t="str">
        <f ca="1">IF(NOT(ISBLANK($B$15)),TRIM(MID(SUBSTITUTE('Analysis Sheet'!$B$15,", ",REPT(" ",LEN('Analysis Sheet'!$B$15))),((COLUMNS('Analysis Sheet'!$B$15:$B$15)-(OFFSET('Values Table'!X2,0,0)))*LEN('Analysis Sheet'!$B$15))+1,LEN('Analysis Sheet'!$B$15))))</f>
        <v/>
      </c>
      <c r="M15" s="20" t="str">
        <f ca="1">IF(NOT(ISBLANK($B$15)),TRIM(MID(SUBSTITUTE('Analysis Sheet'!$B$15,", ",REPT(" ",LEN('Analysis Sheet'!$B$15))),((COLUMNS('Analysis Sheet'!$B$15:$B$15)-(OFFSET('Values Table'!Y2,0,0)))*LEN('Analysis Sheet'!$B$15))+1,LEN('Analysis Sheet'!$B$15))))</f>
        <v/>
      </c>
      <c r="N15" s="20" t="str">
        <f ca="1">IF(NOT(ISBLANK($B$15)),TRIM(MID(SUBSTITUTE('Analysis Sheet'!$B$15,", ",REPT(" ",LEN('Analysis Sheet'!$B$15))),((COLUMNS('Analysis Sheet'!$B$15:$B$15)-(OFFSET('Values Table'!Z2,0,0)))*LEN('Analysis Sheet'!$B$15))+1,LEN('Analysis Sheet'!$B$15))))</f>
        <v/>
      </c>
      <c r="O15" s="20" t="str">
        <f ca="1">IF(NOT(ISBLANK($B$15)),TRIM(MID(SUBSTITUTE('Analysis Sheet'!$B$15,", ",REPT(" ",LEN('Analysis Sheet'!$B$15))),((COLUMNS('Analysis Sheet'!$B$15:$B$15)-(OFFSET('Values Table'!AA2,0,0)))*LEN('Analysis Sheet'!$B$15))+1,LEN('Analysis Sheet'!$B$15))))</f>
        <v/>
      </c>
      <c r="P15" s="20" t="str">
        <f ca="1">IF(NOT(ISBLANK($B$15)),TRIM(MID(SUBSTITUTE('Analysis Sheet'!$B$15,", ",REPT(" ",LEN('Analysis Sheet'!$B$15))),((COLUMNS('Analysis Sheet'!$B$15:$B$15)-(OFFSET('Values Table'!AB2,0,0)))*LEN('Analysis Sheet'!$B$15))+1,LEN('Analysis Sheet'!$B$15))))</f>
        <v/>
      </c>
      <c r="Q15" s="20" t="str">
        <f ca="1">IF(NOT(ISBLANK($B$15)),TRIM(MID(SUBSTITUTE('Analysis Sheet'!$B$15,", ",REPT(" ",LEN('Analysis Sheet'!$B$15))),((COLUMNS('Analysis Sheet'!$B$15:$B$15)-(OFFSET('Values Table'!AC2,0,0)))*LEN('Analysis Sheet'!$B$15))+1,LEN('Analysis Sheet'!$B$15))))</f>
        <v/>
      </c>
      <c r="R15" s="20" t="str">
        <f ca="1">IF(NOT(ISBLANK($B$15)),TRIM(MID(SUBSTITUTE('Analysis Sheet'!$B$15,", ",REPT(" ",LEN('Analysis Sheet'!$B$15))),((COLUMNS('Analysis Sheet'!$B$15:$B$15)-(OFFSET('Values Table'!AD2,0,0)))*LEN('Analysis Sheet'!$B$15))+1,LEN('Analysis Sheet'!$B$15))))</f>
        <v/>
      </c>
      <c r="S15" s="20" t="str">
        <f ca="1">IF(NOT(ISBLANK($B$15)),TRIM(MID(SUBSTITUTE('Analysis Sheet'!$B$15,", ",REPT(" ",LEN('Analysis Sheet'!$B$15))),((COLUMNS('Analysis Sheet'!$B$15:$B$15)-(OFFSET('Values Table'!AE2,0,0)))*LEN('Analysis Sheet'!$B$15))+1,LEN('Analysis Sheet'!$B$15))))</f>
        <v/>
      </c>
      <c r="T15" s="20" t="str">
        <f ca="1">IF(NOT(ISBLANK($B$15)),TRIM(MID(SUBSTITUTE('Analysis Sheet'!$B$15,", ",REPT(" ",LEN('Analysis Sheet'!$B$15))),((COLUMNS('Analysis Sheet'!$B$15:$B$15)-(OFFSET('Values Table'!AF2,0,0)))*LEN('Analysis Sheet'!$B$15))+1,LEN('Analysis Sheet'!$B$15))))</f>
        <v/>
      </c>
      <c r="U15" s="20" t="str">
        <f ca="1">IF(NOT(ISBLANK($B$15)),TRIM(MID(SUBSTITUTE('Analysis Sheet'!$B$15,", ",REPT(" ",LEN('Analysis Sheet'!$B$15))),((COLUMNS('Analysis Sheet'!$B$15:$B$15)-(OFFSET('Values Table'!AG2,0,0)))*LEN('Analysis Sheet'!$B$15))+1,LEN('Analysis Sheet'!$B$15))))</f>
        <v/>
      </c>
      <c r="V15" s="20" t="str">
        <f ca="1">IF(NOT(ISBLANK($B$15)),TRIM(MID(SUBSTITUTE('Analysis Sheet'!$B$15,", ",REPT(" ",LEN('Analysis Sheet'!$B$15))),((COLUMNS('Analysis Sheet'!$B$15:$B$15)-(OFFSET('Values Table'!AH2,0,0)))*LEN('Analysis Sheet'!$B$15))+1,LEN('Analysis Sheet'!$B$15))))</f>
        <v/>
      </c>
      <c r="W15" s="41"/>
      <c r="X15" s="20" t="str">
        <f ca="1">UNIQUE($C$4:$V$23, 12)</f>
        <v/>
      </c>
      <c r="Y15" s="20" t="str">
        <f ca="1">IFERROR(VLOOKUP('Analysis Sheet'!X15,'Values Table'!$A$2:$B$42,2,FALSE), "0")</f>
        <v>0</v>
      </c>
    </row>
    <row r="16" spans="1:34" s="20" customFormat="1" x14ac:dyDescent="0.3">
      <c r="A16" s="20" t="str">
        <f>UStrip('User Ranking Form'!A15)</f>
        <v/>
      </c>
      <c r="B16" s="44" t="str">
        <f>IFERROR(MatchWords('Analysis Sheet'!A16, 'Values Table'!$A$2:$B$42)," ")</f>
        <v xml:space="preserve"> </v>
      </c>
      <c r="C16" s="20" t="str">
        <f ca="1">IF(NOT(ISBLANK($B$16)),TRIM(MID(SUBSTITUTE('Analysis Sheet'!$B$16,", ",REPT(" ",LEN('Analysis Sheet'!$B$16))),((COLUMNS('Analysis Sheet'!$B$16:$B$16)-(OFFSET('Values Table'!O2,0,0)))*LEN('Analysis Sheet'!$B$16))+1,LEN('Analysis Sheet'!$B$16))))</f>
        <v/>
      </c>
      <c r="D16" s="20" t="str">
        <f ca="1">IF(NOT(ISBLANK($B$16)),TRIM(MID(SUBSTITUTE('Analysis Sheet'!$B$16,", ",REPT(" ",LEN('Analysis Sheet'!$B$16))),((COLUMNS('Analysis Sheet'!$B$16:$B$16)-(OFFSET('Values Table'!P2,0,0)))*LEN('Analysis Sheet'!$B$16))+1,LEN('Analysis Sheet'!$B$16))))</f>
        <v/>
      </c>
      <c r="E16" s="20" t="str">
        <f ca="1">IF(NOT(ISBLANK($B$16)),TRIM(MID(SUBSTITUTE('Analysis Sheet'!$B$16,", ",REPT(" ",LEN('Analysis Sheet'!$B$16))),((COLUMNS('Analysis Sheet'!$B$16:$B$16)-(OFFSET('Values Table'!Q2,0,0)))*LEN('Analysis Sheet'!$B$16))+1,LEN('Analysis Sheet'!$B$16))))</f>
        <v/>
      </c>
      <c r="F16" s="20" t="str">
        <f ca="1">IF(NOT(ISBLANK($B$16)),TRIM(MID(SUBSTITUTE('Analysis Sheet'!$B$16,", ",REPT(" ",LEN('Analysis Sheet'!$B$16))),((COLUMNS('Analysis Sheet'!$B$16:$B$16)-(OFFSET('Values Table'!R2,0,0)))*LEN('Analysis Sheet'!$B$16))+1,LEN('Analysis Sheet'!$B$16))))</f>
        <v/>
      </c>
      <c r="G16" s="20" t="str">
        <f ca="1">IF(NOT(ISBLANK($B$16)),TRIM(MID(SUBSTITUTE('Analysis Sheet'!$B$16,", ",REPT(" ",LEN('Analysis Sheet'!$B$16))),((COLUMNS('Analysis Sheet'!$B$16:$B$16)-(OFFSET('Values Table'!S2,0,0)))*LEN('Analysis Sheet'!$B$16))+1,LEN('Analysis Sheet'!$B$16))))</f>
        <v/>
      </c>
      <c r="H16" s="20" t="str">
        <f ca="1">IF(NOT(ISBLANK($B$16)),TRIM(MID(SUBSTITUTE('Analysis Sheet'!$B$16,", ",REPT(" ",LEN('Analysis Sheet'!$B$16))),((COLUMNS('Analysis Sheet'!$B$16:$B$16)-(OFFSET('Values Table'!T2,0,0)))*LEN('Analysis Sheet'!$B$16))+1,LEN('Analysis Sheet'!$B$16))))</f>
        <v/>
      </c>
      <c r="I16" s="20" t="str">
        <f ca="1">IF(NOT(ISBLANK($B$16)),TRIM(MID(SUBSTITUTE('Analysis Sheet'!$B$16,", ",REPT(" ",LEN('Analysis Sheet'!$B$16))),((COLUMNS('Analysis Sheet'!$B$16:$B$16)-(OFFSET('Values Table'!U2,0,0)))*LEN('Analysis Sheet'!$B$16))+1,LEN('Analysis Sheet'!$B$16))))</f>
        <v/>
      </c>
      <c r="J16" s="20" t="str">
        <f ca="1">IF(NOT(ISBLANK($B$16)),TRIM(MID(SUBSTITUTE('Analysis Sheet'!$B$16,", ",REPT(" ",LEN('Analysis Sheet'!$B$16))),((COLUMNS('Analysis Sheet'!$B$16:$B$16)-(OFFSET('Values Table'!V2,0,0)))*LEN('Analysis Sheet'!$B$16))+1,LEN('Analysis Sheet'!$B$16))))</f>
        <v/>
      </c>
      <c r="K16" s="20" t="str">
        <f ca="1">IF(NOT(ISBLANK($B$16)),TRIM(MID(SUBSTITUTE('Analysis Sheet'!$B$16,", ",REPT(" ",LEN('Analysis Sheet'!$B$16))),((COLUMNS('Analysis Sheet'!$B$16:$B$16)-(OFFSET('Values Table'!W2,0,0)))*LEN('Analysis Sheet'!$B$16))+1,LEN('Analysis Sheet'!$B$16))))</f>
        <v/>
      </c>
      <c r="L16" s="20" t="str">
        <f ca="1">IF(NOT(ISBLANK($B$16)),TRIM(MID(SUBSTITUTE('Analysis Sheet'!$B$16,", ",REPT(" ",LEN('Analysis Sheet'!$B$16))),((COLUMNS('Analysis Sheet'!$B$16:$B$16)-(OFFSET('Values Table'!X2,0,0)))*LEN('Analysis Sheet'!$B$16))+1,LEN('Analysis Sheet'!$B$16))))</f>
        <v/>
      </c>
      <c r="M16" s="20" t="str">
        <f ca="1">IF(NOT(ISBLANK($B$16)),TRIM(MID(SUBSTITUTE('Analysis Sheet'!$B$16,", ",REPT(" ",LEN('Analysis Sheet'!$B$16))),((COLUMNS('Analysis Sheet'!$B$16:$B$16)-(OFFSET('Values Table'!Y2,0,0)))*LEN('Analysis Sheet'!$B$16))+1,LEN('Analysis Sheet'!$B$16))))</f>
        <v/>
      </c>
      <c r="N16" s="20" t="str">
        <f ca="1">IF(NOT(ISBLANK($B$16)),TRIM(MID(SUBSTITUTE('Analysis Sheet'!$B$16,", ",REPT(" ",LEN('Analysis Sheet'!$B$16))),((COLUMNS('Analysis Sheet'!$B$16:$B$16)-(OFFSET('Values Table'!Z2,0,0)))*LEN('Analysis Sheet'!$B$16))+1,LEN('Analysis Sheet'!$B$16))))</f>
        <v/>
      </c>
      <c r="O16" s="20" t="str">
        <f ca="1">IF(NOT(ISBLANK($B$16)),TRIM(MID(SUBSTITUTE('Analysis Sheet'!$B$16,", ",REPT(" ",LEN('Analysis Sheet'!$B$16))),((COLUMNS('Analysis Sheet'!$B$16:$B$16)-(OFFSET('Values Table'!AA2,0,0)))*LEN('Analysis Sheet'!$B$16))+1,LEN('Analysis Sheet'!$B$16))))</f>
        <v/>
      </c>
      <c r="P16" s="20" t="str">
        <f ca="1">IF(NOT(ISBLANK($B$16)),TRIM(MID(SUBSTITUTE('Analysis Sheet'!$B$16,", ",REPT(" ",LEN('Analysis Sheet'!$B$16))),((COLUMNS('Analysis Sheet'!$B$16:$B$16)-(OFFSET('Values Table'!AB2,0,0)))*LEN('Analysis Sheet'!$B$16))+1,LEN('Analysis Sheet'!$B$16))))</f>
        <v/>
      </c>
      <c r="Q16" s="20" t="str">
        <f ca="1">IF(NOT(ISBLANK($B$16)),TRIM(MID(SUBSTITUTE('Analysis Sheet'!$B$16,", ",REPT(" ",LEN('Analysis Sheet'!$B$16))),((COLUMNS('Analysis Sheet'!$B$16:$B$16)-(OFFSET('Values Table'!AC2,0,0)))*LEN('Analysis Sheet'!$B$16))+1,LEN('Analysis Sheet'!$B$16))))</f>
        <v/>
      </c>
      <c r="R16" s="20" t="str">
        <f ca="1">IF(NOT(ISBLANK($B$16)),TRIM(MID(SUBSTITUTE('Analysis Sheet'!$B$16,", ",REPT(" ",LEN('Analysis Sheet'!$B$16))),((COLUMNS('Analysis Sheet'!$B$16:$B$16)-(OFFSET('Values Table'!AD2,0,0)))*LEN('Analysis Sheet'!$B$16))+1,LEN('Analysis Sheet'!$B$16))))</f>
        <v/>
      </c>
      <c r="S16" s="20" t="str">
        <f ca="1">IF(NOT(ISBLANK($B$16)),TRIM(MID(SUBSTITUTE('Analysis Sheet'!$B$16,", ",REPT(" ",LEN('Analysis Sheet'!$B$16))),((COLUMNS('Analysis Sheet'!$B$16:$B$16)-(OFFSET('Values Table'!AE2,0,0)))*LEN('Analysis Sheet'!$B$16))+1,LEN('Analysis Sheet'!$B$16))))</f>
        <v/>
      </c>
      <c r="T16" s="20" t="str">
        <f ca="1">IF(NOT(ISBLANK($B$16)),TRIM(MID(SUBSTITUTE('Analysis Sheet'!$B$16,", ",REPT(" ",LEN('Analysis Sheet'!$B$16))),((COLUMNS('Analysis Sheet'!$B$16:$B$16)-(OFFSET('Values Table'!AF2,0,0)))*LEN('Analysis Sheet'!$B$16))+1,LEN('Analysis Sheet'!$B$16))))</f>
        <v/>
      </c>
      <c r="U16" s="20" t="str">
        <f ca="1">IF(NOT(ISBLANK($B$16)),TRIM(MID(SUBSTITUTE('Analysis Sheet'!$B$16,", ",REPT(" ",LEN('Analysis Sheet'!$B$16))),((COLUMNS('Analysis Sheet'!$B$16:$B$16)-(OFFSET('Values Table'!AG2,0,0)))*LEN('Analysis Sheet'!$B$16))+1,LEN('Analysis Sheet'!$B$16))))</f>
        <v/>
      </c>
      <c r="V16" s="20" t="str">
        <f ca="1">IF(NOT(ISBLANK($B$16)),TRIM(MID(SUBSTITUTE('Analysis Sheet'!$B$16,", ",REPT(" ",LEN('Analysis Sheet'!$B$16))),((COLUMNS('Analysis Sheet'!$B$16:$B$16)-(OFFSET('Values Table'!AH2,0,0)))*LEN('Analysis Sheet'!$B$16))+1,LEN('Analysis Sheet'!$B$16))))</f>
        <v/>
      </c>
      <c r="W16" s="41"/>
      <c r="X16" s="20" t="str">
        <f ca="1">UNIQUE($C$4:$V$23, 13)</f>
        <v/>
      </c>
      <c r="Y16" s="20" t="str">
        <f ca="1">IFERROR(VLOOKUP('Analysis Sheet'!X16,'Values Table'!$A$2:$B$42,2,FALSE), "0")</f>
        <v>0</v>
      </c>
    </row>
    <row r="17" spans="1:26" s="20" customFormat="1" x14ac:dyDescent="0.3">
      <c r="A17" s="20" t="str">
        <f>UStrip('User Ranking Form'!A16)</f>
        <v/>
      </c>
      <c r="B17" s="44" t="str">
        <f>IFERROR(MatchWords('Analysis Sheet'!A17, 'Values Table'!$A$2:$B$42)," ")</f>
        <v xml:space="preserve"> </v>
      </c>
      <c r="C17" s="20" t="str">
        <f ca="1">IF(NOT(ISBLANK($B$17)),TRIM(MID(SUBSTITUTE('Analysis Sheet'!$B$17,", ",REPT(" ",LEN('Analysis Sheet'!$B$17))),((COLUMNS('Analysis Sheet'!$B$17:$B$17)-(OFFSET('Values Table'!O2,0,0)))*LEN('Analysis Sheet'!$B$17))+1,LEN('Analysis Sheet'!$B$17))))</f>
        <v/>
      </c>
      <c r="D17" s="20" t="str">
        <f ca="1">IF(NOT(ISBLANK($B$17)),TRIM(MID(SUBSTITUTE('Analysis Sheet'!$B$17,", ",REPT(" ",LEN('Analysis Sheet'!$B$17))),((COLUMNS('Analysis Sheet'!$B$17:$B$17)-(OFFSET('Values Table'!P2,0,0)))*LEN('Analysis Sheet'!$B$17))+1,LEN('Analysis Sheet'!$B$17))))</f>
        <v/>
      </c>
      <c r="E17" s="20" t="str">
        <f ca="1">IF(NOT(ISBLANK($B$17)),TRIM(MID(SUBSTITUTE('Analysis Sheet'!$B$17,", ",REPT(" ",LEN('Analysis Sheet'!$B$17))),((COLUMNS('Analysis Sheet'!$B$17:$B$17)-(OFFSET('Values Table'!Q2,0,0)))*LEN('Analysis Sheet'!$B$17))+1,LEN('Analysis Sheet'!$B$17))))</f>
        <v/>
      </c>
      <c r="F17" s="20" t="str">
        <f ca="1">IF(NOT(ISBLANK($B$17)),TRIM(MID(SUBSTITUTE('Analysis Sheet'!$B$17,", ",REPT(" ",LEN('Analysis Sheet'!$B$17))),((COLUMNS('Analysis Sheet'!$B$17:$B$17)-(OFFSET('Values Table'!R2,0,0)))*LEN('Analysis Sheet'!$B$17))+1,LEN('Analysis Sheet'!$B$17))))</f>
        <v/>
      </c>
      <c r="G17" s="20" t="str">
        <f ca="1">IF(NOT(ISBLANK($B$17)),TRIM(MID(SUBSTITUTE('Analysis Sheet'!$B$17,", ",REPT(" ",LEN('Analysis Sheet'!$B$17))),((COLUMNS('Analysis Sheet'!$B$17:$B$17)-(OFFSET('Values Table'!S2,0,0)))*LEN('Analysis Sheet'!$B$17))+1,LEN('Analysis Sheet'!$B$17))))</f>
        <v/>
      </c>
      <c r="H17" s="20" t="str">
        <f ca="1">IF(NOT(ISBLANK($B$17)),TRIM(MID(SUBSTITUTE('Analysis Sheet'!$B$17,", ",REPT(" ",LEN('Analysis Sheet'!$B$17))),((COLUMNS('Analysis Sheet'!$B$17:$B$17)-(OFFSET('Values Table'!T2,0,0)))*LEN('Analysis Sheet'!$B$17))+1,LEN('Analysis Sheet'!$B$17))))</f>
        <v/>
      </c>
      <c r="I17" s="20" t="str">
        <f ca="1">IF(NOT(ISBLANK($B$17)),TRIM(MID(SUBSTITUTE('Analysis Sheet'!$B$17,", ",REPT(" ",LEN('Analysis Sheet'!$B$17))),((COLUMNS('Analysis Sheet'!$B$17:$B$17)-(OFFSET('Values Table'!U2,0,0)))*LEN('Analysis Sheet'!$B$17))+1,LEN('Analysis Sheet'!$B$17))))</f>
        <v/>
      </c>
      <c r="J17" s="20" t="str">
        <f ca="1">IF(NOT(ISBLANK($B$17)),TRIM(MID(SUBSTITUTE('Analysis Sheet'!$B$17,", ",REPT(" ",LEN('Analysis Sheet'!$B$17))),((COLUMNS('Analysis Sheet'!$B$17:$B$17)-(OFFSET('Values Table'!V2,0,0)))*LEN('Analysis Sheet'!$B$17))+1,LEN('Analysis Sheet'!$B$17))))</f>
        <v/>
      </c>
      <c r="K17" s="20" t="str">
        <f ca="1">IF(NOT(ISBLANK($B$17)),TRIM(MID(SUBSTITUTE('Analysis Sheet'!$B$17,", ",REPT(" ",LEN('Analysis Sheet'!$B$17))),((COLUMNS('Analysis Sheet'!$B$17:$B$17)-(OFFSET('Values Table'!W2,0,0)))*LEN('Analysis Sheet'!$B$17))+1,LEN('Analysis Sheet'!$B$17))))</f>
        <v/>
      </c>
      <c r="L17" s="20" t="str">
        <f ca="1">IF(NOT(ISBLANK($B$17)),TRIM(MID(SUBSTITUTE('Analysis Sheet'!$B$17,", ",REPT(" ",LEN('Analysis Sheet'!$B$17))),((COLUMNS('Analysis Sheet'!$B$17:$B$17)-(OFFSET('Values Table'!X2,0,0)))*LEN('Analysis Sheet'!$B$17))+1,LEN('Analysis Sheet'!$B$17))))</f>
        <v/>
      </c>
      <c r="M17" s="20" t="str">
        <f ca="1">IF(NOT(ISBLANK($B$17)),TRIM(MID(SUBSTITUTE('Analysis Sheet'!$B$17,", ",REPT(" ",LEN('Analysis Sheet'!$B$17))),((COLUMNS('Analysis Sheet'!$B$17:$B$17)-(OFFSET('Values Table'!Y2,0,0)))*LEN('Analysis Sheet'!$B$17))+1,LEN('Analysis Sheet'!$B$17))))</f>
        <v/>
      </c>
      <c r="N17" s="20" t="str">
        <f ca="1">IF(NOT(ISBLANK($B$17)),TRIM(MID(SUBSTITUTE('Analysis Sheet'!$B$17,", ",REPT(" ",LEN('Analysis Sheet'!$B$17))),((COLUMNS('Analysis Sheet'!$B$17:$B$17)-(OFFSET('Values Table'!Z2,0,0)))*LEN('Analysis Sheet'!$B$17))+1,LEN('Analysis Sheet'!$B$17))))</f>
        <v/>
      </c>
      <c r="O17" s="20" t="str">
        <f ca="1">IF(NOT(ISBLANK($B$17)),TRIM(MID(SUBSTITUTE('Analysis Sheet'!$B$17,", ",REPT(" ",LEN('Analysis Sheet'!$B$17))),((COLUMNS('Analysis Sheet'!$B$17:$B$17)-(OFFSET('Values Table'!AA2,0,0)))*LEN('Analysis Sheet'!$B$17))+1,LEN('Analysis Sheet'!$B$17))))</f>
        <v/>
      </c>
      <c r="P17" s="20" t="str">
        <f ca="1">IF(NOT(ISBLANK($B$17)),TRIM(MID(SUBSTITUTE('Analysis Sheet'!$B$17,", ",REPT(" ",LEN('Analysis Sheet'!$B$17))),((COLUMNS('Analysis Sheet'!$B$17:$B$17)-(OFFSET('Values Table'!AB2,0,0)))*LEN('Analysis Sheet'!$B$17))+1,LEN('Analysis Sheet'!$B$17))))</f>
        <v/>
      </c>
      <c r="Q17" s="20" t="str">
        <f ca="1">IF(NOT(ISBLANK($B$17)),TRIM(MID(SUBSTITUTE('Analysis Sheet'!$B$17,", ",REPT(" ",LEN('Analysis Sheet'!$B$17))),((COLUMNS('Analysis Sheet'!$B$17:$B$17)-(OFFSET('Values Table'!AC2,0,0)))*LEN('Analysis Sheet'!$B$17))+1,LEN('Analysis Sheet'!$B$17))))</f>
        <v/>
      </c>
      <c r="R17" s="20" t="str">
        <f ca="1">IF(NOT(ISBLANK($B$17)),TRIM(MID(SUBSTITUTE('Analysis Sheet'!$B$17,", ",REPT(" ",LEN('Analysis Sheet'!$B$17))),((COLUMNS('Analysis Sheet'!$B$17:$B$17)-(OFFSET('Values Table'!AD2,0,0)))*LEN('Analysis Sheet'!$B$17))+1,LEN('Analysis Sheet'!$B$17))))</f>
        <v/>
      </c>
      <c r="S17" s="20" t="str">
        <f ca="1">IF(NOT(ISBLANK($B$17)),TRIM(MID(SUBSTITUTE('Analysis Sheet'!$B$17,", ",REPT(" ",LEN('Analysis Sheet'!$B$17))),((COLUMNS('Analysis Sheet'!$B$17:$B$17)-(OFFSET('Values Table'!AE2,0,0)))*LEN('Analysis Sheet'!$B$17))+1,LEN('Analysis Sheet'!$B$17))))</f>
        <v/>
      </c>
      <c r="T17" s="20" t="str">
        <f ca="1">IF(NOT(ISBLANK($B$17)),TRIM(MID(SUBSTITUTE('Analysis Sheet'!$B$17,", ",REPT(" ",LEN('Analysis Sheet'!$B$17))),((COLUMNS('Analysis Sheet'!$B$17:$B$17)-(OFFSET('Values Table'!AF2,0,0)))*LEN('Analysis Sheet'!$B$17))+1,LEN('Analysis Sheet'!$B$17))))</f>
        <v/>
      </c>
      <c r="U17" s="20" t="str">
        <f ca="1">IF(NOT(ISBLANK($B$17)),TRIM(MID(SUBSTITUTE('Analysis Sheet'!$B$17,", ",REPT(" ",LEN('Analysis Sheet'!$B$17))),((COLUMNS('Analysis Sheet'!$B$17:$B$17)-(OFFSET('Values Table'!AG2,0,0)))*LEN('Analysis Sheet'!$B$17))+1,LEN('Analysis Sheet'!$B$17))))</f>
        <v/>
      </c>
      <c r="V17" s="20" t="str">
        <f ca="1">IF(NOT(ISBLANK($B$17)),TRIM(MID(SUBSTITUTE('Analysis Sheet'!$B$17,", ",REPT(" ",LEN('Analysis Sheet'!$B$17))),((COLUMNS('Analysis Sheet'!$B$17:$B$17)-(OFFSET('Values Table'!AH2,0,0)))*LEN('Analysis Sheet'!$B$17))+1,LEN('Analysis Sheet'!$B$17))))</f>
        <v/>
      </c>
      <c r="W17" s="41"/>
      <c r="X17" s="20" t="str">
        <f ca="1">UNIQUE($C$4:$V$23, 14)</f>
        <v/>
      </c>
      <c r="Y17" s="20" t="str">
        <f ca="1">IFERROR(VLOOKUP('Analysis Sheet'!X17,'Values Table'!$A$2:$B$42,2,FALSE), "0")</f>
        <v>0</v>
      </c>
    </row>
    <row r="18" spans="1:26" s="20" customFormat="1" x14ac:dyDescent="0.3">
      <c r="A18" s="20" t="str">
        <f>UStrip('User Ranking Form'!A17)</f>
        <v/>
      </c>
      <c r="B18" s="44" t="str">
        <f>IFERROR(MatchWords('Analysis Sheet'!A18, 'Values Table'!$A$2:$B$42)," ")</f>
        <v xml:space="preserve"> </v>
      </c>
      <c r="C18" s="20" t="str">
        <f ca="1">IF(NOT(ISBLANK($B$18)),TRIM(MID(SUBSTITUTE('Analysis Sheet'!$B$18,", ",REPT(" ",LEN('Analysis Sheet'!$B$18))),((COLUMNS('Analysis Sheet'!$B$18:$B$18)-(OFFSET('Values Table'!O2,0,0)))*LEN('Analysis Sheet'!$B$18))+1,LEN('Analysis Sheet'!$B$18))))</f>
        <v/>
      </c>
      <c r="D18" s="20" t="str">
        <f ca="1">IF(NOT(ISBLANK($B$18)),TRIM(MID(SUBSTITUTE('Analysis Sheet'!$B$18,", ",REPT(" ",LEN('Analysis Sheet'!$B$18))),((COLUMNS('Analysis Sheet'!$B$18:$B$18)-(OFFSET('Values Table'!P2,0,0)))*LEN('Analysis Sheet'!$B$18))+1,LEN('Analysis Sheet'!$B$18))))</f>
        <v/>
      </c>
      <c r="E18" s="20" t="str">
        <f ca="1">IF(NOT(ISBLANK($B$18)),TRIM(MID(SUBSTITUTE('Analysis Sheet'!$B$18,", ",REPT(" ",LEN('Analysis Sheet'!$B$18))),((COLUMNS('Analysis Sheet'!$B$18:$B$18)-(OFFSET('Values Table'!Q2,0,0)))*LEN('Analysis Sheet'!$B$18))+1,LEN('Analysis Sheet'!$B$18))))</f>
        <v/>
      </c>
      <c r="F18" s="20" t="str">
        <f ca="1">IF(NOT(ISBLANK($B$18)),TRIM(MID(SUBSTITUTE('Analysis Sheet'!$B$18,", ",REPT(" ",LEN('Analysis Sheet'!$B$18))),((COLUMNS('Analysis Sheet'!$B$18:$B$18)-(OFFSET('Values Table'!R2,0,0)))*LEN('Analysis Sheet'!$B$18))+1,LEN('Analysis Sheet'!$B$18))))</f>
        <v/>
      </c>
      <c r="G18" s="20" t="str">
        <f ca="1">IF(NOT(ISBLANK($B$18)),TRIM(MID(SUBSTITUTE('Analysis Sheet'!$B$18,", ",REPT(" ",LEN('Analysis Sheet'!$B$18))),((COLUMNS('Analysis Sheet'!$B$18:$B$18)-(OFFSET('Values Table'!S2,0,0)))*LEN('Analysis Sheet'!$B$18))+1,LEN('Analysis Sheet'!$B$18))))</f>
        <v/>
      </c>
      <c r="H18" s="20" t="str">
        <f ca="1">IF(NOT(ISBLANK($B$18)),TRIM(MID(SUBSTITUTE('Analysis Sheet'!$B$18,", ",REPT(" ",LEN('Analysis Sheet'!$B$18))),((COLUMNS('Analysis Sheet'!$B$18:$B$18)-(OFFSET('Values Table'!T2,0,0)))*LEN('Analysis Sheet'!$B$18))+1,LEN('Analysis Sheet'!$B$18))))</f>
        <v/>
      </c>
      <c r="I18" s="20" t="str">
        <f ca="1">IF(NOT(ISBLANK($B$18)),TRIM(MID(SUBSTITUTE('Analysis Sheet'!$B$18,", ",REPT(" ",LEN('Analysis Sheet'!$B$18))),((COLUMNS('Analysis Sheet'!$B$18:$B$18)-(OFFSET('Values Table'!U2,0,0)))*LEN('Analysis Sheet'!$B$18))+1,LEN('Analysis Sheet'!$B$18))))</f>
        <v/>
      </c>
      <c r="J18" s="20" t="str">
        <f ca="1">IF(NOT(ISBLANK($B$18)),TRIM(MID(SUBSTITUTE('Analysis Sheet'!$B$18,", ",REPT(" ",LEN('Analysis Sheet'!$B$18))),((COLUMNS('Analysis Sheet'!$B$18:$B$18)-(OFFSET('Values Table'!V2,0,0)))*LEN('Analysis Sheet'!$B$18))+1,LEN('Analysis Sheet'!$B$18))))</f>
        <v/>
      </c>
      <c r="K18" s="20" t="str">
        <f ca="1">IF(NOT(ISBLANK($B$18)),TRIM(MID(SUBSTITUTE('Analysis Sheet'!$B$18,", ",REPT(" ",LEN('Analysis Sheet'!$B$18))),((COLUMNS('Analysis Sheet'!$B$18:$B$18)-(OFFSET('Values Table'!W2,0,0)))*LEN('Analysis Sheet'!$B$18))+1,LEN('Analysis Sheet'!$B$18))))</f>
        <v/>
      </c>
      <c r="L18" s="20" t="str">
        <f ca="1">IF(NOT(ISBLANK($B$18)),TRIM(MID(SUBSTITUTE('Analysis Sheet'!$B$18,", ",REPT(" ",LEN('Analysis Sheet'!$B$18))),((COLUMNS('Analysis Sheet'!$B$18:$B$18)-(OFFSET('Values Table'!X2,0,0)))*LEN('Analysis Sheet'!$B$18))+1,LEN('Analysis Sheet'!$B$18))))</f>
        <v/>
      </c>
      <c r="M18" s="20" t="str">
        <f ca="1">IF(NOT(ISBLANK($B$18)),TRIM(MID(SUBSTITUTE('Analysis Sheet'!$B$18,", ",REPT(" ",LEN('Analysis Sheet'!$B$18))),((COLUMNS('Analysis Sheet'!$B$18:$B$18)-(OFFSET('Values Table'!Y2,0,0)))*LEN('Analysis Sheet'!$B$18))+1,LEN('Analysis Sheet'!$B$18))))</f>
        <v/>
      </c>
      <c r="N18" s="20" t="str">
        <f ca="1">IF(NOT(ISBLANK($B$18)),TRIM(MID(SUBSTITUTE('Analysis Sheet'!$B$18,", ",REPT(" ",LEN('Analysis Sheet'!$B$18))),((COLUMNS('Analysis Sheet'!$B$18:$B$18)-(OFFSET('Values Table'!Z2,0,0)))*LEN('Analysis Sheet'!$B$18))+1,LEN('Analysis Sheet'!$B$18))))</f>
        <v/>
      </c>
      <c r="O18" s="20" t="str">
        <f ca="1">IF(NOT(ISBLANK($B$18)),TRIM(MID(SUBSTITUTE('Analysis Sheet'!$B$18,", ",REPT(" ",LEN('Analysis Sheet'!$B$18))),((COLUMNS('Analysis Sheet'!$B$18:$B$18)-(OFFSET('Values Table'!AA2,0,0)))*LEN('Analysis Sheet'!$B$18))+1,LEN('Analysis Sheet'!$B$18))))</f>
        <v/>
      </c>
      <c r="P18" s="20" t="str">
        <f ca="1">IF(NOT(ISBLANK($B$18)),TRIM(MID(SUBSTITUTE('Analysis Sheet'!$B$18,", ",REPT(" ",LEN('Analysis Sheet'!$B$18))),((COLUMNS('Analysis Sheet'!$B$18:$B$18)-(OFFSET('Values Table'!AB2,0,0)))*LEN('Analysis Sheet'!$B$18))+1,LEN('Analysis Sheet'!$B$18))))</f>
        <v/>
      </c>
      <c r="Q18" s="20" t="str">
        <f ca="1">IF(NOT(ISBLANK($B$18)),TRIM(MID(SUBSTITUTE('Analysis Sheet'!$B$18,", ",REPT(" ",LEN('Analysis Sheet'!$B$18))),((COLUMNS('Analysis Sheet'!$B$18:$B$18)-(OFFSET('Values Table'!AC2,0,0)))*LEN('Analysis Sheet'!$B$18))+1,LEN('Analysis Sheet'!$B$18))))</f>
        <v/>
      </c>
      <c r="R18" s="20" t="str">
        <f ca="1">IF(NOT(ISBLANK($B$18)),TRIM(MID(SUBSTITUTE('Analysis Sheet'!$B$18,", ",REPT(" ",LEN('Analysis Sheet'!$B$18))),((COLUMNS('Analysis Sheet'!$B$18:$B$18)-(OFFSET('Values Table'!AD2,0,0)))*LEN('Analysis Sheet'!$B$18))+1,LEN('Analysis Sheet'!$B$18))))</f>
        <v/>
      </c>
      <c r="S18" s="20" t="str">
        <f ca="1">IF(NOT(ISBLANK($B$18)),TRIM(MID(SUBSTITUTE('Analysis Sheet'!$B$18,", ",REPT(" ",LEN('Analysis Sheet'!$B$18))),((COLUMNS('Analysis Sheet'!$B$18:$B$18)-(OFFSET('Values Table'!AE2,0,0)))*LEN('Analysis Sheet'!$B$18))+1,LEN('Analysis Sheet'!$B$18))))</f>
        <v/>
      </c>
      <c r="T18" s="20" t="str">
        <f ca="1">IF(NOT(ISBLANK($B$18)),TRIM(MID(SUBSTITUTE('Analysis Sheet'!$B$18,", ",REPT(" ",LEN('Analysis Sheet'!$B$18))),((COLUMNS('Analysis Sheet'!$B$18:$B$18)-(OFFSET('Values Table'!AF2,0,0)))*LEN('Analysis Sheet'!$B$18))+1,LEN('Analysis Sheet'!$B$18))))</f>
        <v/>
      </c>
      <c r="U18" s="20" t="str">
        <f ca="1">IF(NOT(ISBLANK($B$18)),TRIM(MID(SUBSTITUTE('Analysis Sheet'!$B$18,", ",REPT(" ",LEN('Analysis Sheet'!$B$18))),((COLUMNS('Analysis Sheet'!$B$18:$B$18)-(OFFSET('Values Table'!AG2,0,0)))*LEN('Analysis Sheet'!$B$18))+1,LEN('Analysis Sheet'!$B$18))))</f>
        <v/>
      </c>
      <c r="V18" s="20" t="str">
        <f ca="1">IF(NOT(ISBLANK($B$18)),TRIM(MID(SUBSTITUTE('Analysis Sheet'!$B$18,", ",REPT(" ",LEN('Analysis Sheet'!$B$18))),((COLUMNS('Analysis Sheet'!$B$18:$B$18)-(OFFSET('Values Table'!AH2,0,0)))*LEN('Analysis Sheet'!$B$18))+1,LEN('Analysis Sheet'!$B$18))))</f>
        <v/>
      </c>
      <c r="W18" s="41"/>
      <c r="X18" s="20" t="str">
        <f ca="1">UNIQUE($C$4:$V$23, 15)</f>
        <v/>
      </c>
      <c r="Y18" s="20" t="str">
        <f ca="1">IFERROR(VLOOKUP('Analysis Sheet'!X18,'Values Table'!$A$2:$B$42,2,FALSE), "0")</f>
        <v>0</v>
      </c>
    </row>
    <row r="19" spans="1:26" s="20" customFormat="1" x14ac:dyDescent="0.3">
      <c r="A19" s="20" t="str">
        <f>UStrip('User Ranking Form'!A18)</f>
        <v/>
      </c>
      <c r="B19" s="44" t="str">
        <f>IFERROR(MatchWords('Analysis Sheet'!A19, 'Values Table'!$A$2:$B$42)," ")</f>
        <v xml:space="preserve"> </v>
      </c>
      <c r="C19" s="20" t="str">
        <f ca="1">IF(NOT(ISBLANK($B$19)),TRIM(MID(SUBSTITUTE('Analysis Sheet'!$B$19,", ",REPT(" ",LEN('Analysis Sheet'!$B$19))),((COLUMNS('Analysis Sheet'!$B$19:$B$19)-(OFFSET('Values Table'!O2,0,0)))*LEN('Analysis Sheet'!$B$19))+1,LEN('Analysis Sheet'!$B$19))))</f>
        <v/>
      </c>
      <c r="D19" s="20" t="str">
        <f ca="1">IF(NOT(ISBLANK($B$19)),TRIM(MID(SUBSTITUTE('Analysis Sheet'!$B$19,", ",REPT(" ",LEN('Analysis Sheet'!$B$19))),((COLUMNS('Analysis Sheet'!$B$19:$B$19)-(OFFSET('Values Table'!P2,0,0)))*LEN('Analysis Sheet'!$B$19))+1,LEN('Analysis Sheet'!$B$19))))</f>
        <v/>
      </c>
      <c r="E19" s="20" t="str">
        <f ca="1">IF(NOT(ISBLANK($B$19)),TRIM(MID(SUBSTITUTE('Analysis Sheet'!$B$19,", ",REPT(" ",LEN('Analysis Sheet'!$B$19))),((COLUMNS('Analysis Sheet'!$B$19:$B$19)-(OFFSET('Values Table'!Q2,0,0)))*LEN('Analysis Sheet'!$B$19))+1,LEN('Analysis Sheet'!$B$19))))</f>
        <v/>
      </c>
      <c r="F19" s="20" t="str">
        <f ca="1">IF(NOT(ISBLANK($B$19)),TRIM(MID(SUBSTITUTE('Analysis Sheet'!$B$19,", ",REPT(" ",LEN('Analysis Sheet'!$B$19))),((COLUMNS('Analysis Sheet'!$B$19:$B$19)-(OFFSET('Values Table'!R2,0,0)))*LEN('Analysis Sheet'!$B$19))+1,LEN('Analysis Sheet'!$B$19))))</f>
        <v/>
      </c>
      <c r="G19" s="20" t="str">
        <f ca="1">IF(NOT(ISBLANK($B$19)),TRIM(MID(SUBSTITUTE('Analysis Sheet'!$B$19,", ",REPT(" ",LEN('Analysis Sheet'!$B$19))),((COLUMNS('Analysis Sheet'!$B$19:$B$19)-(OFFSET('Values Table'!S2,0,0)))*LEN('Analysis Sheet'!$B$19))+1,LEN('Analysis Sheet'!$B$19))))</f>
        <v/>
      </c>
      <c r="H19" s="20" t="str">
        <f ca="1">IF(NOT(ISBLANK($B$19)),TRIM(MID(SUBSTITUTE('Analysis Sheet'!$B$19,", ",REPT(" ",LEN('Analysis Sheet'!$B$19))),((COLUMNS('Analysis Sheet'!$B$19:$B$19)-(OFFSET('Values Table'!T2,0,0)))*LEN('Analysis Sheet'!$B$19))+1,LEN('Analysis Sheet'!$B$19))))</f>
        <v/>
      </c>
      <c r="I19" s="20" t="str">
        <f ca="1">IF(NOT(ISBLANK($B$19)),TRIM(MID(SUBSTITUTE('Analysis Sheet'!$B$19,", ",REPT(" ",LEN('Analysis Sheet'!$B$19))),((COLUMNS('Analysis Sheet'!$B$19:$B$19)-(OFFSET('Values Table'!U2,0,0)))*LEN('Analysis Sheet'!$B$19))+1,LEN('Analysis Sheet'!$B$19))))</f>
        <v/>
      </c>
      <c r="J19" s="20" t="str">
        <f ca="1">IF(NOT(ISBLANK($B$19)),TRIM(MID(SUBSTITUTE('Analysis Sheet'!$B$19,", ",REPT(" ",LEN('Analysis Sheet'!$B$19))),((COLUMNS('Analysis Sheet'!$B$19:$B$19)-(OFFSET('Values Table'!V2,0,0)))*LEN('Analysis Sheet'!$B$19))+1,LEN('Analysis Sheet'!$B$19))))</f>
        <v/>
      </c>
      <c r="K19" s="20" t="str">
        <f ca="1">IF(NOT(ISBLANK($B$19)),TRIM(MID(SUBSTITUTE('Analysis Sheet'!$B$19,", ",REPT(" ",LEN('Analysis Sheet'!$B$19))),((COLUMNS('Analysis Sheet'!$B$19:$B$19)-(OFFSET('Values Table'!W2,0,0)))*LEN('Analysis Sheet'!$B$19))+1,LEN('Analysis Sheet'!$B$19))))</f>
        <v/>
      </c>
      <c r="L19" s="20" t="str">
        <f ca="1">IF(NOT(ISBLANK($B$19)),TRIM(MID(SUBSTITUTE('Analysis Sheet'!$B$19,", ",REPT(" ",LEN('Analysis Sheet'!$B$19))),((COLUMNS('Analysis Sheet'!$B$19:$B$19)-(OFFSET('Values Table'!X2,0,0)))*LEN('Analysis Sheet'!$B$19))+1,LEN('Analysis Sheet'!$B$19))))</f>
        <v/>
      </c>
      <c r="M19" s="20" t="str">
        <f ca="1">IF(NOT(ISBLANK($B$19)),TRIM(MID(SUBSTITUTE('Analysis Sheet'!$B$19,", ",REPT(" ",LEN('Analysis Sheet'!$B$19))),((COLUMNS('Analysis Sheet'!$B$19:$B$19)-(OFFSET('Values Table'!Y2,0,0)))*LEN('Analysis Sheet'!$B$19))+1,LEN('Analysis Sheet'!$B$19))))</f>
        <v/>
      </c>
      <c r="N19" s="20" t="str">
        <f ca="1">IF(NOT(ISBLANK($B$19)),TRIM(MID(SUBSTITUTE('Analysis Sheet'!$B$19,", ",REPT(" ",LEN('Analysis Sheet'!$B$19))),((COLUMNS('Analysis Sheet'!$B$19:$B$19)-(OFFSET('Values Table'!Z2,0,0)))*LEN('Analysis Sheet'!$B$19))+1,LEN('Analysis Sheet'!$B$19))))</f>
        <v/>
      </c>
      <c r="O19" s="20" t="str">
        <f ca="1">IF(NOT(ISBLANK($B$19)),TRIM(MID(SUBSTITUTE('Analysis Sheet'!$B$19,", ",REPT(" ",LEN('Analysis Sheet'!$B$19))),((COLUMNS('Analysis Sheet'!$B$19:$B$19)-(OFFSET('Values Table'!AA2,0,0)))*LEN('Analysis Sheet'!$B$19))+1,LEN('Analysis Sheet'!$B$19))))</f>
        <v/>
      </c>
      <c r="P19" s="20" t="str">
        <f ca="1">IF(NOT(ISBLANK($B$19)),TRIM(MID(SUBSTITUTE('Analysis Sheet'!$B$19,", ",REPT(" ",LEN('Analysis Sheet'!$B$19))),((COLUMNS('Analysis Sheet'!$B$19:$B$19)-(OFFSET('Values Table'!AB2,0,0)))*LEN('Analysis Sheet'!$B$19))+1,LEN('Analysis Sheet'!$B$19))))</f>
        <v/>
      </c>
      <c r="Q19" s="20" t="str">
        <f ca="1">IF(NOT(ISBLANK($B$19)),TRIM(MID(SUBSTITUTE('Analysis Sheet'!$B$19,", ",REPT(" ",LEN('Analysis Sheet'!$B$19))),((COLUMNS('Analysis Sheet'!$B$19:$B$19)-(OFFSET('Values Table'!AC2,0,0)))*LEN('Analysis Sheet'!$B$19))+1,LEN('Analysis Sheet'!$B$19))))</f>
        <v/>
      </c>
      <c r="R19" s="20" t="str">
        <f ca="1">IF(NOT(ISBLANK($B$19)),TRIM(MID(SUBSTITUTE('Analysis Sheet'!$B$19,", ",REPT(" ",LEN('Analysis Sheet'!$B$19))),((COLUMNS('Analysis Sheet'!$B$19:$B$19)-(OFFSET('Values Table'!AD2,0,0)))*LEN('Analysis Sheet'!$B$19))+1,LEN('Analysis Sheet'!$B$19))))</f>
        <v/>
      </c>
      <c r="S19" s="20" t="str">
        <f ca="1">IF(NOT(ISBLANK($B$19)),TRIM(MID(SUBSTITUTE('Analysis Sheet'!$B$19,", ",REPT(" ",LEN('Analysis Sheet'!$B$19))),((COLUMNS('Analysis Sheet'!$B$19:$B$19)-(OFFSET('Values Table'!AE2,0,0)))*LEN('Analysis Sheet'!$B$19))+1,LEN('Analysis Sheet'!$B$19))))</f>
        <v/>
      </c>
      <c r="T19" s="20" t="str">
        <f ca="1">IF(NOT(ISBLANK($B$19)),TRIM(MID(SUBSTITUTE('Analysis Sheet'!$B$19,", ",REPT(" ",LEN('Analysis Sheet'!$B$19))),((COLUMNS('Analysis Sheet'!$B$19:$B$19)-(OFFSET('Values Table'!AF2,0,0)))*LEN('Analysis Sheet'!$B$19))+1,LEN('Analysis Sheet'!$B$19))))</f>
        <v/>
      </c>
      <c r="U19" s="20" t="str">
        <f ca="1">IF(NOT(ISBLANK($B$19)),TRIM(MID(SUBSTITUTE('Analysis Sheet'!$B$19,", ",REPT(" ",LEN('Analysis Sheet'!$B$19))),((COLUMNS('Analysis Sheet'!$B$19:$B$19)-(OFFSET('Values Table'!AG2,0,0)))*LEN('Analysis Sheet'!$B$19))+1,LEN('Analysis Sheet'!$B$19))))</f>
        <v/>
      </c>
      <c r="V19" s="20" t="str">
        <f ca="1">IF(NOT(ISBLANK($B$19)),TRIM(MID(SUBSTITUTE('Analysis Sheet'!$B$19,", ",REPT(" ",LEN('Analysis Sheet'!$B$19))),((COLUMNS('Analysis Sheet'!$B$19:$B$19)-(OFFSET('Values Table'!AH2,0,0)))*LEN('Analysis Sheet'!$B$19))+1,LEN('Analysis Sheet'!$B$19))))</f>
        <v/>
      </c>
      <c r="W19" s="41"/>
      <c r="X19" s="20" t="str">
        <f ca="1">UNIQUE($C$4:$V$23, 16)</f>
        <v/>
      </c>
      <c r="Y19" s="20" t="str">
        <f ca="1">IFERROR(VLOOKUP('Analysis Sheet'!X19,'Values Table'!$A$2:$B$42,2,FALSE), "0")</f>
        <v>0</v>
      </c>
    </row>
    <row r="20" spans="1:26" s="20" customFormat="1" x14ac:dyDescent="0.3">
      <c r="A20" s="20" t="str">
        <f>UStrip('User Ranking Form'!A19)</f>
        <v/>
      </c>
      <c r="B20" s="44" t="str">
        <f>IFERROR(MatchWords('Analysis Sheet'!A20, 'Values Table'!$A$2:$B$42)," ")</f>
        <v xml:space="preserve"> </v>
      </c>
      <c r="C20" s="20" t="str">
        <f ca="1">IF(NOT(ISBLANK($B$20)),TRIM(MID(SUBSTITUTE('Analysis Sheet'!$B$20,", ",REPT(" ",LEN('Analysis Sheet'!$B$20))),((COLUMNS('Analysis Sheet'!$B$20:$B$20)-(OFFSET('Values Table'!O2,0,0)))*LEN('Analysis Sheet'!$B$20))+1,LEN('Analysis Sheet'!$B$20))))</f>
        <v/>
      </c>
      <c r="D20" s="20" t="str">
        <f ca="1">IF(NOT(ISBLANK($B$20)),TRIM(MID(SUBSTITUTE('Analysis Sheet'!$B$20,", ",REPT(" ",LEN('Analysis Sheet'!$B$20))),((COLUMNS('Analysis Sheet'!$B$20:$B$20)-(OFFSET('Values Table'!P2,0,0)))*LEN('Analysis Sheet'!$B$20))+1,LEN('Analysis Sheet'!$B$20))))</f>
        <v/>
      </c>
      <c r="E20" s="20" t="str">
        <f ca="1">IF(NOT(ISBLANK($B$20)),TRIM(MID(SUBSTITUTE('Analysis Sheet'!$B$20,", ",REPT(" ",LEN('Analysis Sheet'!$B$20))),((COLUMNS('Analysis Sheet'!$B$20:$B$20)-(OFFSET('Values Table'!Q2,0,0)))*LEN('Analysis Sheet'!$B$20))+1,LEN('Analysis Sheet'!$B$20))))</f>
        <v/>
      </c>
      <c r="F20" s="20" t="str">
        <f ca="1">IF(NOT(ISBLANK($B$20)),TRIM(MID(SUBSTITUTE('Analysis Sheet'!$B$20,", ",REPT(" ",LEN('Analysis Sheet'!$B$20))),((COLUMNS('Analysis Sheet'!$B$20:$B$20)-(OFFSET('Values Table'!R2,0,0)))*LEN('Analysis Sheet'!$B$20))+1,LEN('Analysis Sheet'!$B$20))))</f>
        <v/>
      </c>
      <c r="G20" s="20" t="str">
        <f ca="1">IF(NOT(ISBLANK($B$20)),TRIM(MID(SUBSTITUTE('Analysis Sheet'!$B$20,", ",REPT(" ",LEN('Analysis Sheet'!$B$20))),((COLUMNS('Analysis Sheet'!$B$20:$B$20)-(OFFSET('Values Table'!S2,0,0)))*LEN('Analysis Sheet'!$B$20))+1,LEN('Analysis Sheet'!$B$20))))</f>
        <v/>
      </c>
      <c r="H20" s="20" t="str">
        <f ca="1">IF(NOT(ISBLANK($B$20)),TRIM(MID(SUBSTITUTE('Analysis Sheet'!$B$20,", ",REPT(" ",LEN('Analysis Sheet'!$B$20))),((COLUMNS('Analysis Sheet'!$B$20:$B$20)-(OFFSET('Values Table'!T2,0,0)))*LEN('Analysis Sheet'!$B$20))+1,LEN('Analysis Sheet'!$B$20))))</f>
        <v/>
      </c>
      <c r="I20" s="20" t="str">
        <f ca="1">IF(NOT(ISBLANK($B$20)),TRIM(MID(SUBSTITUTE('Analysis Sheet'!$B$20,", ",REPT(" ",LEN('Analysis Sheet'!$B$20))),((COLUMNS('Analysis Sheet'!$B$20:$B$20)-(OFFSET('Values Table'!U2,0,0)))*LEN('Analysis Sheet'!$B$20))+1,LEN('Analysis Sheet'!$B$20))))</f>
        <v/>
      </c>
      <c r="J20" s="20" t="str">
        <f ca="1">IF(NOT(ISBLANK($B$20)),TRIM(MID(SUBSTITUTE('Analysis Sheet'!$B$20,", ",REPT(" ",LEN('Analysis Sheet'!$B$20))),((COLUMNS('Analysis Sheet'!$B$20:$B$20)-(OFFSET('Values Table'!V2,0,0)))*LEN('Analysis Sheet'!$B$20))+1,LEN('Analysis Sheet'!$B$20))))</f>
        <v/>
      </c>
      <c r="K20" s="20" t="str">
        <f ca="1">IF(NOT(ISBLANK($B$20)),TRIM(MID(SUBSTITUTE('Analysis Sheet'!$B$20,", ",REPT(" ",LEN('Analysis Sheet'!$B$20))),((COLUMNS('Analysis Sheet'!$B$20:$B$20)-(OFFSET('Values Table'!W2,0,0)))*LEN('Analysis Sheet'!$B$20))+1,LEN('Analysis Sheet'!$B$20))))</f>
        <v/>
      </c>
      <c r="L20" s="20" t="str">
        <f ca="1">IF(NOT(ISBLANK($B$20)),TRIM(MID(SUBSTITUTE('Analysis Sheet'!$B$20,", ",REPT(" ",LEN('Analysis Sheet'!$B$20))),((COLUMNS('Analysis Sheet'!$B$20:$B$20)-(OFFSET('Values Table'!X2,0,0)))*LEN('Analysis Sheet'!$B$20))+1,LEN('Analysis Sheet'!$B$20))))</f>
        <v/>
      </c>
      <c r="M20" s="20" t="str">
        <f ca="1">IF(NOT(ISBLANK($B$20)),TRIM(MID(SUBSTITUTE('Analysis Sheet'!$B$20,", ",REPT(" ",LEN('Analysis Sheet'!$B$20))),((COLUMNS('Analysis Sheet'!$B$20:$B$20)-(OFFSET('Values Table'!Y2,0,0)))*LEN('Analysis Sheet'!$B$20))+1,LEN('Analysis Sheet'!$B$20))))</f>
        <v/>
      </c>
      <c r="N20" s="20" t="str">
        <f ca="1">IF(NOT(ISBLANK($B$20)),TRIM(MID(SUBSTITUTE('Analysis Sheet'!$B$20,", ",REPT(" ",LEN('Analysis Sheet'!$B$20))),((COLUMNS('Analysis Sheet'!$B$20:$B$20)-(OFFSET('Values Table'!Z2,0,0)))*LEN('Analysis Sheet'!$B$20))+1,LEN('Analysis Sheet'!$B$20))))</f>
        <v/>
      </c>
      <c r="O20" s="20" t="str">
        <f ca="1">IF(NOT(ISBLANK($B$20)),TRIM(MID(SUBSTITUTE('Analysis Sheet'!$B$20,", ",REPT(" ",LEN('Analysis Sheet'!$B$20))),((COLUMNS('Analysis Sheet'!$B$20:$B$20)-(OFFSET('Values Table'!AA2,0,0)))*LEN('Analysis Sheet'!$B$20))+1,LEN('Analysis Sheet'!$B$20))))</f>
        <v/>
      </c>
      <c r="P20" s="20" t="str">
        <f ca="1">IF(NOT(ISBLANK($B$20)),TRIM(MID(SUBSTITUTE('Analysis Sheet'!$B$20,", ",REPT(" ",LEN('Analysis Sheet'!$B$20))),((COLUMNS('Analysis Sheet'!$B$20:$B$20)-(OFFSET('Values Table'!AB2,0,0)))*LEN('Analysis Sheet'!$B$20))+1,LEN('Analysis Sheet'!$B$20))))</f>
        <v/>
      </c>
      <c r="Q20" s="20" t="str">
        <f ca="1">IF(NOT(ISBLANK($B$20)),TRIM(MID(SUBSTITUTE('Analysis Sheet'!$B$20,", ",REPT(" ",LEN('Analysis Sheet'!$B$20))),((COLUMNS('Analysis Sheet'!$B$20:$B$20)-(OFFSET('Values Table'!AC2,0,0)))*LEN('Analysis Sheet'!$B$20))+1,LEN('Analysis Sheet'!$B$20))))</f>
        <v/>
      </c>
      <c r="R20" s="20" t="str">
        <f ca="1">IF(NOT(ISBLANK($B$20)),TRIM(MID(SUBSTITUTE('Analysis Sheet'!$B$20,", ",REPT(" ",LEN('Analysis Sheet'!$B$20))),((COLUMNS('Analysis Sheet'!$B$20:$B$20)-(OFFSET('Values Table'!AD2,0,0)))*LEN('Analysis Sheet'!$B$20))+1,LEN('Analysis Sheet'!$B$20))))</f>
        <v/>
      </c>
      <c r="S20" s="20" t="str">
        <f ca="1">IF(NOT(ISBLANK($B$20)),TRIM(MID(SUBSTITUTE('Analysis Sheet'!$B$20,", ",REPT(" ",LEN('Analysis Sheet'!$B$20))),((COLUMNS('Analysis Sheet'!$B$20:$B$20)-(OFFSET('Values Table'!AE2,0,0)))*LEN('Analysis Sheet'!$B$20))+1,LEN('Analysis Sheet'!$B$20))))</f>
        <v/>
      </c>
      <c r="T20" s="20" t="str">
        <f ca="1">IF(NOT(ISBLANK($B$20)),TRIM(MID(SUBSTITUTE('Analysis Sheet'!$B$20,", ",REPT(" ",LEN('Analysis Sheet'!$B$20))),((COLUMNS('Analysis Sheet'!$B$20:$B$20)-(OFFSET('Values Table'!AF2,0,0)))*LEN('Analysis Sheet'!$B$20))+1,LEN('Analysis Sheet'!$B$20))))</f>
        <v/>
      </c>
      <c r="U20" s="20" t="str">
        <f ca="1">IF(NOT(ISBLANK($B$20)),TRIM(MID(SUBSTITUTE('Analysis Sheet'!$B$20,", ",REPT(" ",LEN('Analysis Sheet'!$B$20))),((COLUMNS('Analysis Sheet'!$B$20:$B$20)-(OFFSET('Values Table'!AG2,0,0)))*LEN('Analysis Sheet'!$B$20))+1,LEN('Analysis Sheet'!$B$20))))</f>
        <v/>
      </c>
      <c r="V20" s="20" t="str">
        <f ca="1">IF(NOT(ISBLANK($B$20)),TRIM(MID(SUBSTITUTE('Analysis Sheet'!$B$20,", ",REPT(" ",LEN('Analysis Sheet'!$B$20))),((COLUMNS('Analysis Sheet'!$B$20:$B$20)-(OFFSET('Values Table'!AH2,0,0)))*LEN('Analysis Sheet'!$B$20))+1,LEN('Analysis Sheet'!$B$20))))</f>
        <v/>
      </c>
      <c r="W20" s="41"/>
      <c r="X20" s="20" t="str">
        <f ca="1">UNIQUE($C$4:$V$23, 17)</f>
        <v/>
      </c>
      <c r="Y20" s="20" t="str">
        <f ca="1">IFERROR(VLOOKUP('Analysis Sheet'!X20,'Values Table'!$A$2:$B$42,2,FALSE), "0")</f>
        <v>0</v>
      </c>
    </row>
    <row r="21" spans="1:26" s="20" customFormat="1" x14ac:dyDescent="0.3">
      <c r="A21" s="20" t="str">
        <f>UStrip('User Ranking Form'!A20)</f>
        <v/>
      </c>
      <c r="B21" s="44" t="str">
        <f>IFERROR(MatchWords('Analysis Sheet'!A21, 'Values Table'!$A$2:$B$42)," ")</f>
        <v xml:space="preserve"> </v>
      </c>
      <c r="C21" s="20" t="str">
        <f ca="1">IF(NOT(ISBLANK($B$21)),TRIM(MID(SUBSTITUTE('Analysis Sheet'!$B$21,", ",REPT(" ",LEN('Analysis Sheet'!$B$21))),((COLUMNS('Analysis Sheet'!$B$21:$B$21)-(OFFSET('Values Table'!O2,0,0)))*LEN('Analysis Sheet'!$B$21))+1,LEN('Analysis Sheet'!$B$21))))</f>
        <v/>
      </c>
      <c r="D21" s="20" t="str">
        <f ca="1">IF(NOT(ISBLANK($B$21)),TRIM(MID(SUBSTITUTE('Analysis Sheet'!$B$21,", ",REPT(" ",LEN('Analysis Sheet'!$B$21))),((COLUMNS('Analysis Sheet'!$B$21:$B$21)-(OFFSET('Values Table'!P2,0,0)))*LEN('Analysis Sheet'!$B$21))+1,LEN('Analysis Sheet'!$B$21))))</f>
        <v/>
      </c>
      <c r="E21" s="20" t="str">
        <f ca="1">IF(NOT(ISBLANK($B$21)),TRIM(MID(SUBSTITUTE('Analysis Sheet'!$B$21,", ",REPT(" ",LEN('Analysis Sheet'!$B$21))),((COLUMNS('Analysis Sheet'!$B$21:$B$21)-(OFFSET('Values Table'!Q2,0,0)))*LEN('Analysis Sheet'!$B$21))+1,LEN('Analysis Sheet'!$B$21))))</f>
        <v/>
      </c>
      <c r="F21" s="20" t="str">
        <f ca="1">IF(NOT(ISBLANK($B$21)),TRIM(MID(SUBSTITUTE('Analysis Sheet'!$B$21,", ",REPT(" ",LEN('Analysis Sheet'!$B$21))),((COLUMNS('Analysis Sheet'!$B$21:$B$21)-(OFFSET('Values Table'!R2,0,0)))*LEN('Analysis Sheet'!$B$21))+1,LEN('Analysis Sheet'!$B$21))))</f>
        <v/>
      </c>
      <c r="G21" s="20" t="str">
        <f ca="1">IF(NOT(ISBLANK($B$21)),TRIM(MID(SUBSTITUTE('Analysis Sheet'!$B$21,", ",REPT(" ",LEN('Analysis Sheet'!$B$21))),((COLUMNS('Analysis Sheet'!$B$21:$B$21)-(OFFSET('Values Table'!S2,0,0)))*LEN('Analysis Sheet'!$B$21))+1,LEN('Analysis Sheet'!$B$21))))</f>
        <v/>
      </c>
      <c r="H21" s="20" t="str">
        <f ca="1">IF(NOT(ISBLANK($B$21)),TRIM(MID(SUBSTITUTE('Analysis Sheet'!$B$21,", ",REPT(" ",LEN('Analysis Sheet'!$B$21))),((COLUMNS('Analysis Sheet'!$B$21:$B$21)-(OFFSET('Values Table'!T2,0,0)))*LEN('Analysis Sheet'!$B$21))+1,LEN('Analysis Sheet'!$B$21))))</f>
        <v/>
      </c>
      <c r="I21" s="20" t="str">
        <f ca="1">IF(NOT(ISBLANK($B$21)),TRIM(MID(SUBSTITUTE('Analysis Sheet'!$B$21,", ",REPT(" ",LEN('Analysis Sheet'!$B$21))),((COLUMNS('Analysis Sheet'!$B$21:$B$21)-(OFFSET('Values Table'!U2,0,0)))*LEN('Analysis Sheet'!$B$21))+1,LEN('Analysis Sheet'!$B$21))))</f>
        <v/>
      </c>
      <c r="J21" s="20" t="str">
        <f ca="1">IF(NOT(ISBLANK($B$21)),TRIM(MID(SUBSTITUTE('Analysis Sheet'!$B$21,", ",REPT(" ",LEN('Analysis Sheet'!$B$21))),((COLUMNS('Analysis Sheet'!$B$21:$B$21)-(OFFSET('Values Table'!V2,0,0)))*LEN('Analysis Sheet'!$B$21))+1,LEN('Analysis Sheet'!$B$21))))</f>
        <v/>
      </c>
      <c r="K21" s="20" t="str">
        <f ca="1">IF(NOT(ISBLANK($B$21)),TRIM(MID(SUBSTITUTE('Analysis Sheet'!$B$21,", ",REPT(" ",LEN('Analysis Sheet'!$B$21))),((COLUMNS('Analysis Sheet'!$B$21:$B$21)-(OFFSET('Values Table'!W2,0,0)))*LEN('Analysis Sheet'!$B$21))+1,LEN('Analysis Sheet'!$B$21))))</f>
        <v/>
      </c>
      <c r="L21" s="20" t="str">
        <f ca="1">IF(NOT(ISBLANK($B$21)),TRIM(MID(SUBSTITUTE('Analysis Sheet'!$B$21,", ",REPT(" ",LEN('Analysis Sheet'!$B$21))),((COLUMNS('Analysis Sheet'!$B$21:$B$21)-(OFFSET('Values Table'!X2,0,0)))*LEN('Analysis Sheet'!$B$21))+1,LEN('Analysis Sheet'!$B$21))))</f>
        <v/>
      </c>
      <c r="M21" s="20" t="str">
        <f ca="1">IF(NOT(ISBLANK($B$21)),TRIM(MID(SUBSTITUTE('Analysis Sheet'!$B$21,", ",REPT(" ",LEN('Analysis Sheet'!$B$21))),((COLUMNS('Analysis Sheet'!$B$21:$B$21)-(OFFSET('Values Table'!Y2,0,0)))*LEN('Analysis Sheet'!$B$21))+1,LEN('Analysis Sheet'!$B$21))))</f>
        <v/>
      </c>
      <c r="N21" s="20" t="str">
        <f ca="1">IF(NOT(ISBLANK($B$21)),TRIM(MID(SUBSTITUTE('Analysis Sheet'!$B$21,", ",REPT(" ",LEN('Analysis Sheet'!$B$21))),((COLUMNS('Analysis Sheet'!$B$21:$B$21)-(OFFSET('Values Table'!Z2,0,0)))*LEN('Analysis Sheet'!$B$21))+1,LEN('Analysis Sheet'!$B$21))))</f>
        <v/>
      </c>
      <c r="O21" s="20" t="str">
        <f ca="1">IF(NOT(ISBLANK($B$21)),TRIM(MID(SUBSTITUTE('Analysis Sheet'!$B$21,", ",REPT(" ",LEN('Analysis Sheet'!$B$21))),((COLUMNS('Analysis Sheet'!$B$21:$B$21)-(OFFSET('Values Table'!AA2,0,0)))*LEN('Analysis Sheet'!$B$21))+1,LEN('Analysis Sheet'!$B$21))))</f>
        <v/>
      </c>
      <c r="P21" s="20" t="str">
        <f ca="1">IF(NOT(ISBLANK($B$21)),TRIM(MID(SUBSTITUTE('Analysis Sheet'!$B$21,", ",REPT(" ",LEN('Analysis Sheet'!$B$21))),((COLUMNS('Analysis Sheet'!$B$21:$B$21)-(OFFSET('Values Table'!AB2,0,0)))*LEN('Analysis Sheet'!$B$21))+1,LEN('Analysis Sheet'!$B$21))))</f>
        <v/>
      </c>
      <c r="Q21" s="20" t="str">
        <f ca="1">IF(NOT(ISBLANK($B$21)),TRIM(MID(SUBSTITUTE('Analysis Sheet'!$B$21,", ",REPT(" ",LEN('Analysis Sheet'!$B$21))),((COLUMNS('Analysis Sheet'!$B$21:$B$21)-(OFFSET('Values Table'!AC2,0,0)))*LEN('Analysis Sheet'!$B$21))+1,LEN('Analysis Sheet'!$B$21))))</f>
        <v/>
      </c>
      <c r="R21" s="20" t="str">
        <f ca="1">IF(NOT(ISBLANK($B$21)),TRIM(MID(SUBSTITUTE('Analysis Sheet'!$B$21,", ",REPT(" ",LEN('Analysis Sheet'!$B$21))),((COLUMNS('Analysis Sheet'!$B$21:$B$21)-(OFFSET('Values Table'!AD2,0,0)))*LEN('Analysis Sheet'!$B$21))+1,LEN('Analysis Sheet'!$B$21))))</f>
        <v/>
      </c>
      <c r="S21" s="20" t="str">
        <f ca="1">IF(NOT(ISBLANK($B$21)),TRIM(MID(SUBSTITUTE('Analysis Sheet'!$B$21,", ",REPT(" ",LEN('Analysis Sheet'!$B$21))),((COLUMNS('Analysis Sheet'!$B$21:$B$21)-(OFFSET('Values Table'!AE2,0,0)))*LEN('Analysis Sheet'!$B$21))+1,LEN('Analysis Sheet'!$B$21))))</f>
        <v/>
      </c>
      <c r="T21" s="20" t="str">
        <f ca="1">IF(NOT(ISBLANK($B$21)),TRIM(MID(SUBSTITUTE('Analysis Sheet'!$B$21,", ",REPT(" ",LEN('Analysis Sheet'!$B$21))),((COLUMNS('Analysis Sheet'!$B$21:$B$21)-(OFFSET('Values Table'!AF2,0,0)))*LEN('Analysis Sheet'!$B$21))+1,LEN('Analysis Sheet'!$B$21))))</f>
        <v/>
      </c>
      <c r="U21" s="20" t="str">
        <f ca="1">IF(NOT(ISBLANK($B$21)),TRIM(MID(SUBSTITUTE('Analysis Sheet'!$B$21,", ",REPT(" ",LEN('Analysis Sheet'!$B$21))),((COLUMNS('Analysis Sheet'!$B$21:$B$21)-(OFFSET('Values Table'!AG2,0,0)))*LEN('Analysis Sheet'!$B$21))+1,LEN('Analysis Sheet'!$B$21))))</f>
        <v/>
      </c>
      <c r="V21" s="20" t="str">
        <f ca="1">IF(NOT(ISBLANK($B$21)),TRIM(MID(SUBSTITUTE('Analysis Sheet'!$B$21,", ",REPT(" ",LEN('Analysis Sheet'!$B$21))),((COLUMNS('Analysis Sheet'!$B$21:$B$21)-(OFFSET('Values Table'!AH2,0,0)))*LEN('Analysis Sheet'!$B$21))+1,LEN('Analysis Sheet'!$B$21))))</f>
        <v/>
      </c>
      <c r="W21" s="41"/>
      <c r="X21" s="20" t="str">
        <f ca="1">UNIQUE($C$4:$V$23, 18)</f>
        <v/>
      </c>
      <c r="Y21" s="20" t="str">
        <f ca="1">IFERROR(VLOOKUP('Analysis Sheet'!X21,'Values Table'!$A$2:$B$42,2,FALSE), "0")</f>
        <v>0</v>
      </c>
    </row>
    <row r="22" spans="1:26" s="20" customFormat="1" x14ac:dyDescent="0.3">
      <c r="A22" s="20" t="str">
        <f>UStrip('User Ranking Form'!A21)</f>
        <v/>
      </c>
      <c r="B22" s="44" t="str">
        <f>IFERROR(MatchWords('Analysis Sheet'!A22, 'Values Table'!$A$2:$B$42)," ")</f>
        <v xml:space="preserve"> </v>
      </c>
      <c r="C22" s="20" t="str">
        <f ca="1">IF(NOT(ISBLANK($B$22)),TRIM(MID(SUBSTITUTE('Analysis Sheet'!$B$22,", ",REPT(" ",LEN('Analysis Sheet'!$B$22))),((COLUMNS('Analysis Sheet'!$B$22:$B$22)-(OFFSET('Values Table'!O2,0,0)))*LEN('Analysis Sheet'!$B$22))+1,LEN('Analysis Sheet'!$B$22))))</f>
        <v/>
      </c>
      <c r="D22" s="20" t="str">
        <f ca="1">IF(NOT(ISBLANK($B$22)),TRIM(MID(SUBSTITUTE('Analysis Sheet'!$B$22,", ",REPT(" ",LEN('Analysis Sheet'!$B$22))),((COLUMNS('Analysis Sheet'!$B$22:$B$22)-(OFFSET('Values Table'!P2,0,0)))*LEN('Analysis Sheet'!$B$22))+1,LEN('Analysis Sheet'!$B$22))))</f>
        <v/>
      </c>
      <c r="E22" s="20" t="str">
        <f ca="1">IF(NOT(ISBLANK($B$22)),TRIM(MID(SUBSTITUTE('Analysis Sheet'!$B$22,", ",REPT(" ",LEN('Analysis Sheet'!$B$22))),((COLUMNS('Analysis Sheet'!$B$22:$B$22)-(OFFSET('Values Table'!Q2,0,0)))*LEN('Analysis Sheet'!$B$22))+1,LEN('Analysis Sheet'!$B$22))))</f>
        <v/>
      </c>
      <c r="F22" s="20" t="str">
        <f ca="1">IF(NOT(ISBLANK($B$22)),TRIM(MID(SUBSTITUTE('Analysis Sheet'!$B$22,", ",REPT(" ",LEN('Analysis Sheet'!$B$22))),((COLUMNS('Analysis Sheet'!$B$22:$B$22)-(OFFSET('Values Table'!R2,0,0)))*LEN('Analysis Sheet'!$B$22))+1,LEN('Analysis Sheet'!$B$22))))</f>
        <v/>
      </c>
      <c r="G22" s="20" t="str">
        <f ca="1">IF(NOT(ISBLANK($B$22)),TRIM(MID(SUBSTITUTE('Analysis Sheet'!$B$22,", ",REPT(" ",LEN('Analysis Sheet'!$B$22))),((COLUMNS('Analysis Sheet'!$B$22:$B$22)-(OFFSET('Values Table'!S2,0,0)))*LEN('Analysis Sheet'!$B$22))+1,LEN('Analysis Sheet'!$B$22))))</f>
        <v/>
      </c>
      <c r="H22" s="20" t="str">
        <f ca="1">IF(NOT(ISBLANK($B$22)),TRIM(MID(SUBSTITUTE('Analysis Sheet'!$B$22,", ",REPT(" ",LEN('Analysis Sheet'!$B$22))),((COLUMNS('Analysis Sheet'!$B$22:$B$22)-(OFFSET('Values Table'!T2,0,0)))*LEN('Analysis Sheet'!$B$22))+1,LEN('Analysis Sheet'!$B$22))))</f>
        <v/>
      </c>
      <c r="I22" s="20" t="str">
        <f ca="1">IF(NOT(ISBLANK($B$22)),TRIM(MID(SUBSTITUTE('Analysis Sheet'!$B$22,", ",REPT(" ",LEN('Analysis Sheet'!$B$22))),((COLUMNS('Analysis Sheet'!$B$22:$B$22)-(OFFSET('Values Table'!U2,0,0)))*LEN('Analysis Sheet'!$B$22))+1,LEN('Analysis Sheet'!$B$22))))</f>
        <v/>
      </c>
      <c r="J22" s="20" t="str">
        <f ca="1">IF(NOT(ISBLANK($B$22)),TRIM(MID(SUBSTITUTE('Analysis Sheet'!$B$22,", ",REPT(" ",LEN('Analysis Sheet'!$B$22))),((COLUMNS('Analysis Sheet'!$B$22:$B$22)-(OFFSET('Values Table'!V2,0,0)))*LEN('Analysis Sheet'!$B$22))+1,LEN('Analysis Sheet'!$B$22))))</f>
        <v/>
      </c>
      <c r="K22" s="20" t="str">
        <f ca="1">IF(NOT(ISBLANK($B$22)),TRIM(MID(SUBSTITUTE('Analysis Sheet'!$B$22,", ",REPT(" ",LEN('Analysis Sheet'!$B$22))),((COLUMNS('Analysis Sheet'!$B$22:$B$22)-(OFFSET('Values Table'!W2,0,0)))*LEN('Analysis Sheet'!$B$22))+1,LEN('Analysis Sheet'!$B$22))))</f>
        <v/>
      </c>
      <c r="L22" s="20" t="str">
        <f ca="1">IF(NOT(ISBLANK($B$22)),TRIM(MID(SUBSTITUTE('Analysis Sheet'!$B$22,", ",REPT(" ",LEN('Analysis Sheet'!$B$22))),((COLUMNS('Analysis Sheet'!$B$22:$B$22)-(OFFSET('Values Table'!X2,0,0)))*LEN('Analysis Sheet'!$B$22))+1,LEN('Analysis Sheet'!$B$22))))</f>
        <v/>
      </c>
      <c r="M22" s="20" t="str">
        <f ca="1">IF(NOT(ISBLANK($B$22)),TRIM(MID(SUBSTITUTE('Analysis Sheet'!$B$22,", ",REPT(" ",LEN('Analysis Sheet'!$B$22))),((COLUMNS('Analysis Sheet'!$B$22:$B$22)-(OFFSET('Values Table'!Y2,0,0)))*LEN('Analysis Sheet'!$B$22))+1,LEN('Analysis Sheet'!$B$22))))</f>
        <v/>
      </c>
      <c r="N22" s="20" t="str">
        <f ca="1">IF(NOT(ISBLANK($B$22)),TRIM(MID(SUBSTITUTE('Analysis Sheet'!$B$22,", ",REPT(" ",LEN('Analysis Sheet'!$B$22))),((COLUMNS('Analysis Sheet'!$B$22:$B$22)-(OFFSET('Values Table'!Z2,0,0)))*LEN('Analysis Sheet'!$B$22))+1,LEN('Analysis Sheet'!$B$22))))</f>
        <v/>
      </c>
      <c r="O22" s="20" t="str">
        <f ca="1">IF(NOT(ISBLANK($B$22)),TRIM(MID(SUBSTITUTE('Analysis Sheet'!$B$22,", ",REPT(" ",LEN('Analysis Sheet'!$B$22))),((COLUMNS('Analysis Sheet'!$B$22:$B$22)-(OFFSET('Values Table'!AA2,0,0)))*LEN('Analysis Sheet'!$B$22))+1,LEN('Analysis Sheet'!$B$22))))</f>
        <v/>
      </c>
      <c r="P22" s="20" t="str">
        <f ca="1">IF(NOT(ISBLANK($B$22)),TRIM(MID(SUBSTITUTE('Analysis Sheet'!$B$22,", ",REPT(" ",LEN('Analysis Sheet'!$B$22))),((COLUMNS('Analysis Sheet'!$B$22:$B$22)-(OFFSET('Values Table'!AB2,0,0)))*LEN('Analysis Sheet'!$B$22))+1,LEN('Analysis Sheet'!$B$22))))</f>
        <v/>
      </c>
      <c r="Q22" s="20" t="str">
        <f ca="1">IF(NOT(ISBLANK($B$22)),TRIM(MID(SUBSTITUTE('Analysis Sheet'!$B$22,", ",REPT(" ",LEN('Analysis Sheet'!$B$22))),((COLUMNS('Analysis Sheet'!$B$22:$B$22)-(OFFSET('Values Table'!AC2,0,0)))*LEN('Analysis Sheet'!$B$22))+1,LEN('Analysis Sheet'!$B$22))))</f>
        <v/>
      </c>
      <c r="R22" s="20" t="str">
        <f ca="1">IF(NOT(ISBLANK($B$22)),TRIM(MID(SUBSTITUTE('Analysis Sheet'!$B$22,", ",REPT(" ",LEN('Analysis Sheet'!$B$22))),((COLUMNS('Analysis Sheet'!$B$22:$B$22)-(OFFSET('Values Table'!AD2,0,0)))*LEN('Analysis Sheet'!$B$22))+1,LEN('Analysis Sheet'!$B$22))))</f>
        <v/>
      </c>
      <c r="S22" s="20" t="str">
        <f ca="1">IF(NOT(ISBLANK($B$22)),TRIM(MID(SUBSTITUTE('Analysis Sheet'!$B$22,", ",REPT(" ",LEN('Analysis Sheet'!$B$22))),((COLUMNS('Analysis Sheet'!$B$22:$B$22)-(OFFSET('Values Table'!AE2,0,0)))*LEN('Analysis Sheet'!$B$22))+1,LEN('Analysis Sheet'!$B$22))))</f>
        <v/>
      </c>
      <c r="T22" s="20" t="str">
        <f ca="1">IF(NOT(ISBLANK($B$22)),TRIM(MID(SUBSTITUTE('Analysis Sheet'!$B$22,", ",REPT(" ",LEN('Analysis Sheet'!$B$22))),((COLUMNS('Analysis Sheet'!$B$22:$B$22)-(OFFSET('Values Table'!AF2,0,0)))*LEN('Analysis Sheet'!$B$22))+1,LEN('Analysis Sheet'!$B$22))))</f>
        <v/>
      </c>
      <c r="U22" s="20" t="str">
        <f ca="1">IF(NOT(ISBLANK($B$22)),TRIM(MID(SUBSTITUTE('Analysis Sheet'!$B$22,", ",REPT(" ",LEN('Analysis Sheet'!$B$22))),((COLUMNS('Analysis Sheet'!$B$22:$B$22)-(OFFSET('Values Table'!AG2,0,0)))*LEN('Analysis Sheet'!$B$22))+1,LEN('Analysis Sheet'!$B$22))))</f>
        <v/>
      </c>
      <c r="V22" s="20" t="str">
        <f ca="1">IF(NOT(ISBLANK($B$22)),TRIM(MID(SUBSTITUTE('Analysis Sheet'!$B$22,", ",REPT(" ",LEN('Analysis Sheet'!$B$22))),((COLUMNS('Analysis Sheet'!$B$22:$B$22)-(OFFSET('Values Table'!AH2,0,0)))*LEN('Analysis Sheet'!$B$22))+1,LEN('Analysis Sheet'!$B$22))))</f>
        <v/>
      </c>
      <c r="W22" s="41"/>
      <c r="X22" s="20" t="str">
        <f ca="1">UNIQUE($C$4:$V$23, 19)</f>
        <v/>
      </c>
      <c r="Y22" s="20" t="str">
        <f ca="1">IFERROR(VLOOKUP('Analysis Sheet'!X22,'Values Table'!$A$2:$B$42,2,FALSE), "0")</f>
        <v>0</v>
      </c>
    </row>
    <row r="23" spans="1:26" s="20" customFormat="1" x14ac:dyDescent="0.3">
      <c r="A23" s="20" t="str">
        <f>UStrip('User Ranking Form'!A22)</f>
        <v/>
      </c>
      <c r="B23" s="44" t="str">
        <f>IFERROR(MatchWords('Analysis Sheet'!A23, 'Values Table'!$A$2:$B$42)," ")</f>
        <v xml:space="preserve"> </v>
      </c>
      <c r="C23" s="20" t="str">
        <f ca="1">IF(NOT(ISBLANK($B$23)),TRIM(MID(SUBSTITUTE('Analysis Sheet'!$B$23,", ",REPT(" ",LEN('Analysis Sheet'!$B$23))),((COLUMNS('Analysis Sheet'!$B$23:$B$23)-(OFFSET('Values Table'!O2,0,0)))*LEN('Analysis Sheet'!$B$23))+1,LEN('Analysis Sheet'!$B$23))))</f>
        <v/>
      </c>
      <c r="D23" s="20" t="str">
        <f ca="1">IF(NOT(ISBLANK($B$23)),TRIM(MID(SUBSTITUTE('Analysis Sheet'!$B$23,", ",REPT(" ",LEN('Analysis Sheet'!$B$23))),((COLUMNS('Analysis Sheet'!$B$23:$B$23)-(OFFSET('Values Table'!P2,0,0)))*LEN('Analysis Sheet'!$B$23))+1,LEN('Analysis Sheet'!$B$23))))</f>
        <v/>
      </c>
      <c r="E23" s="20" t="str">
        <f ca="1">IF(NOT(ISBLANK($B$23)),TRIM(MID(SUBSTITUTE('Analysis Sheet'!$B$23,", ",REPT(" ",LEN('Analysis Sheet'!$B$23))),((COLUMNS('Analysis Sheet'!$B$23:$B$23)-(OFFSET('Values Table'!Q2,0,0)))*LEN('Analysis Sheet'!$B$23))+1,LEN('Analysis Sheet'!$B$23))))</f>
        <v/>
      </c>
      <c r="F23" s="20" t="str">
        <f ca="1">IF(NOT(ISBLANK($B$23)),TRIM(MID(SUBSTITUTE('Analysis Sheet'!$B$23,", ",REPT(" ",LEN('Analysis Sheet'!$B$23))),((COLUMNS('Analysis Sheet'!$B$23:$B$23)-(OFFSET('Values Table'!R2,0,0)))*LEN('Analysis Sheet'!$B$23))+1,LEN('Analysis Sheet'!$B$23))))</f>
        <v/>
      </c>
      <c r="G23" s="20" t="str">
        <f ca="1">IF(NOT(ISBLANK($B$23)),TRIM(MID(SUBSTITUTE('Analysis Sheet'!$B$23,", ",REPT(" ",LEN('Analysis Sheet'!$B$23))),((COLUMNS('Analysis Sheet'!$B$23:$B$23)-(OFFSET('Values Table'!S2,0,0)))*LEN('Analysis Sheet'!$B$23))+1,LEN('Analysis Sheet'!$B$23))))</f>
        <v/>
      </c>
      <c r="H23" s="20" t="str">
        <f ca="1">IF(NOT(ISBLANK($B$23)),TRIM(MID(SUBSTITUTE('Analysis Sheet'!$B$23,", ",REPT(" ",LEN('Analysis Sheet'!$B$23))),((COLUMNS('Analysis Sheet'!$B$23:$B$23)-(OFFSET('Values Table'!T2,0,0)))*LEN('Analysis Sheet'!$B$23))+1,LEN('Analysis Sheet'!$B$23))))</f>
        <v/>
      </c>
      <c r="I23" s="20" t="str">
        <f ca="1">IF(NOT(ISBLANK($B$23)),TRIM(MID(SUBSTITUTE('Analysis Sheet'!$B$23,", ",REPT(" ",LEN('Analysis Sheet'!$B$23))),((COLUMNS('Analysis Sheet'!$B$23:$B$23)-(OFFSET('Values Table'!U2,0,0)))*LEN('Analysis Sheet'!$B$23))+1,LEN('Analysis Sheet'!$B$23))))</f>
        <v/>
      </c>
      <c r="J23" s="20" t="str">
        <f ca="1">IF(NOT(ISBLANK($B$23)),TRIM(MID(SUBSTITUTE('Analysis Sheet'!$B$23,", ",REPT(" ",LEN('Analysis Sheet'!$B$23))),((COLUMNS('Analysis Sheet'!$B$23:$B$23)-(OFFSET('Values Table'!V2,0,0)))*LEN('Analysis Sheet'!$B$23))+1,LEN('Analysis Sheet'!$B$23))))</f>
        <v/>
      </c>
      <c r="K23" s="20" t="str">
        <f ca="1">IF(NOT(ISBLANK($B$23)),TRIM(MID(SUBSTITUTE('Analysis Sheet'!$B$23,", ",REPT(" ",LEN('Analysis Sheet'!$B$23))),((COLUMNS('Analysis Sheet'!$B$23:$B$23)-(OFFSET('Values Table'!W2,0,0)))*LEN('Analysis Sheet'!$B$23))+1,LEN('Analysis Sheet'!$B$23))))</f>
        <v/>
      </c>
      <c r="L23" s="20" t="str">
        <f ca="1">IF(NOT(ISBLANK($B$23)),TRIM(MID(SUBSTITUTE('Analysis Sheet'!$B$23,", ",REPT(" ",LEN('Analysis Sheet'!$B$23))),((COLUMNS('Analysis Sheet'!$B$23:$B$23)-(OFFSET('Values Table'!X2,0,0)))*LEN('Analysis Sheet'!$B$23))+1,LEN('Analysis Sheet'!$B$23))))</f>
        <v/>
      </c>
      <c r="M23" s="20" t="str">
        <f ca="1">IF(NOT(ISBLANK($B$23)),TRIM(MID(SUBSTITUTE('Analysis Sheet'!$B$23,", ",REPT(" ",LEN('Analysis Sheet'!$B$23))),((COLUMNS('Analysis Sheet'!$B$23:$B$23)-(OFFSET('Values Table'!Y2,0,0)))*LEN('Analysis Sheet'!$B$23))+1,LEN('Analysis Sheet'!$B$23))))</f>
        <v/>
      </c>
      <c r="N23" s="20" t="str">
        <f ca="1">IF(NOT(ISBLANK($B$23)),TRIM(MID(SUBSTITUTE('Analysis Sheet'!$B$23,", ",REPT(" ",LEN('Analysis Sheet'!$B$23))),((COLUMNS('Analysis Sheet'!$B$23:$B$23)-(OFFSET('Values Table'!Z2,0,0)))*LEN('Analysis Sheet'!$B$23))+1,LEN('Analysis Sheet'!$B$23))))</f>
        <v/>
      </c>
      <c r="O23" s="20" t="str">
        <f ca="1">IF(NOT(ISBLANK($B$23)),TRIM(MID(SUBSTITUTE('Analysis Sheet'!$B$23,", ",REPT(" ",LEN('Analysis Sheet'!$B$23))),((COLUMNS('Analysis Sheet'!$B$23:$B$23)-(OFFSET('Values Table'!AA2,0,0)))*LEN('Analysis Sheet'!$B$23))+1,LEN('Analysis Sheet'!$B$23))))</f>
        <v/>
      </c>
      <c r="P23" s="20" t="str">
        <f ca="1">IF(NOT(ISBLANK($B$23)),TRIM(MID(SUBSTITUTE('Analysis Sheet'!$B$23,", ",REPT(" ",LEN('Analysis Sheet'!$B$23))),((COLUMNS('Analysis Sheet'!$B$23:$B$23)-(OFFSET('Values Table'!AB2,0,0)))*LEN('Analysis Sheet'!$B$23))+1,LEN('Analysis Sheet'!$B$23))))</f>
        <v/>
      </c>
      <c r="Q23" s="20" t="str">
        <f ca="1">IF(NOT(ISBLANK($B$23)),TRIM(MID(SUBSTITUTE('Analysis Sheet'!$B$23,", ",REPT(" ",LEN('Analysis Sheet'!$B$23))),((COLUMNS('Analysis Sheet'!$B$23:$B$23)-(OFFSET('Values Table'!AC2,0,0)))*LEN('Analysis Sheet'!$B$23))+1,LEN('Analysis Sheet'!$B$23))))</f>
        <v/>
      </c>
      <c r="R23" s="20" t="str">
        <f ca="1">IF(NOT(ISBLANK($B$23)),TRIM(MID(SUBSTITUTE('Analysis Sheet'!$B$23,", ",REPT(" ",LEN('Analysis Sheet'!$B$23))),((COLUMNS('Analysis Sheet'!$B$23:$B$23)-(OFFSET('Values Table'!AD2,0,0)))*LEN('Analysis Sheet'!$B$23))+1,LEN('Analysis Sheet'!$B$23))))</f>
        <v/>
      </c>
      <c r="S23" s="20" t="str">
        <f ca="1">IF(NOT(ISBLANK($B$23)),TRIM(MID(SUBSTITUTE('Analysis Sheet'!$B$23,", ",REPT(" ",LEN('Analysis Sheet'!$B$23))),((COLUMNS('Analysis Sheet'!$B$23:$B$23)-(OFFSET('Values Table'!AE2,0,0)))*LEN('Analysis Sheet'!$B$23))+1,LEN('Analysis Sheet'!$B$23))))</f>
        <v/>
      </c>
      <c r="T23" s="20" t="str">
        <f ca="1">IF(NOT(ISBLANK($B$23)),TRIM(MID(SUBSTITUTE('Analysis Sheet'!$B$23,", ",REPT(" ",LEN('Analysis Sheet'!$B$23))),((COLUMNS('Analysis Sheet'!$B$23:$B$23)-(OFFSET('Values Table'!AF2,0,0)))*LEN('Analysis Sheet'!$B$23))+1,LEN('Analysis Sheet'!$B$23))))</f>
        <v/>
      </c>
      <c r="U23" s="20" t="str">
        <f ca="1">IF(NOT(ISBLANK($B$23)),TRIM(MID(SUBSTITUTE('Analysis Sheet'!$B$23,", ",REPT(" ",LEN('Analysis Sheet'!$B$23))),((COLUMNS('Analysis Sheet'!$B$23:$B$23)-(OFFSET('Values Table'!AG2,0,0)))*LEN('Analysis Sheet'!$B$23))+1,LEN('Analysis Sheet'!$B$23))))</f>
        <v/>
      </c>
      <c r="V23" s="20" t="str">
        <f ca="1">IF(NOT(ISBLANK($B$23)),TRIM(MID(SUBSTITUTE('Analysis Sheet'!$B$23,", ",REPT(" ",LEN('Analysis Sheet'!$B$23))),((COLUMNS('Analysis Sheet'!$B$23:$B$23)-(OFFSET('Values Table'!AH2,0,0)))*LEN('Analysis Sheet'!$B$23))+1,LEN('Analysis Sheet'!$B$23))))</f>
        <v/>
      </c>
      <c r="W23" s="41"/>
      <c r="X23" s="20" t="str">
        <f ca="1">UNIQUE($C$4:$V$23, 20)</f>
        <v/>
      </c>
      <c r="Y23" s="53" t="str">
        <f ca="1">IFERROR(VLOOKUP('Analysis Sheet'!X23,'Values Table'!$A$2:$B$42,2,FALSE), "0")</f>
        <v>0</v>
      </c>
    </row>
    <row r="24" spans="1:26" s="23" customFormat="1" x14ac:dyDescent="0.3">
      <c r="A24" s="23" t="str">
        <f>UStrip('User Ranking Form'!A24)</f>
        <v xml:space="preserve">WE ARE SERVING A VERY TARGETED GROUP OF INDIVIDUALS WHO ARE HOMELESS OR IN DANGER OF BECOMING HOMELESS THAT ARE EITHER EMPLOYED OR SEEKING EMPLOYMENT AND DO NOT HAVE MENTAL HEALTH OR SUBSTANCE ABUSE ISSUES </v>
      </c>
      <c r="B24" s="21" t="str">
        <f>IFERROR(MatchWords('Analysis Sheet'!A24, 'Values Table'!$A$2:$B$42)," ")</f>
        <v>HEALTH, HOMELESS</v>
      </c>
      <c r="C24" s="50" t="str">
        <f ca="1">IF(NOT(ISBLANK($B$24)),TRIM(MID(SUBSTITUTE('Analysis Sheet'!$B$24,", ",REPT(" ",LEN('Analysis Sheet'!$B$24))),((COLUMNS('Analysis Sheet'!$B$24:$B$24)-(OFFSET('Values Table'!O2,0,0)))*LEN('Analysis Sheet'!$B$24))+1,LEN('Analysis Sheet'!$B$24))))</f>
        <v>HEALTH</v>
      </c>
      <c r="D24" s="50" t="str">
        <f ca="1">IF(NOT(ISBLANK($B$24)),TRIM(MID(SUBSTITUTE('Analysis Sheet'!$B$24,", ",REPT(" ",LEN('Analysis Sheet'!$B$24))),((COLUMNS('Analysis Sheet'!$B$24:$B$24)-(OFFSET('Values Table'!P2,0,0)))*LEN('Analysis Sheet'!$B$24))+1,LEN('Analysis Sheet'!$B$24))))</f>
        <v>HOMELESS</v>
      </c>
      <c r="E24" s="50" t="str">
        <f ca="1">IF(NOT(ISBLANK($B$24)),TRIM(MID(SUBSTITUTE('Analysis Sheet'!$B$24,", ",REPT(" ",LEN('Analysis Sheet'!$B$24))),((COLUMNS('Analysis Sheet'!$B$24:$B$24)-(OFFSET('Values Table'!Q2,0,0)))*LEN('Analysis Sheet'!$B$24))+1,LEN('Analysis Sheet'!$B$24))))</f>
        <v/>
      </c>
      <c r="F24" s="50" t="str">
        <f ca="1">IF(NOT(ISBLANK($B$24)),TRIM(MID(SUBSTITUTE('Analysis Sheet'!$B$24,", ",REPT(" ",LEN('Analysis Sheet'!$B$24))),((COLUMNS('Analysis Sheet'!$B$24:$B$24)-(OFFSET('Values Table'!R2,0,0)))*LEN('Analysis Sheet'!$B$24))+1,LEN('Analysis Sheet'!$B$24))))</f>
        <v/>
      </c>
      <c r="G24" s="50" t="str">
        <f ca="1">IF(NOT(ISBLANK($B$24)),TRIM(MID(SUBSTITUTE('Analysis Sheet'!$B$24,", ",REPT(" ",LEN('Analysis Sheet'!$B$24))),((COLUMNS('Analysis Sheet'!$B$24:$B$24)-(OFFSET('Values Table'!S2,0,0)))*LEN('Analysis Sheet'!$B$24))+1,LEN('Analysis Sheet'!$B$24))))</f>
        <v/>
      </c>
      <c r="H24" s="50" t="str">
        <f ca="1">IF(NOT(ISBLANK($B$24)),TRIM(MID(SUBSTITUTE('Analysis Sheet'!$B$24,", ",REPT(" ",LEN('Analysis Sheet'!$B$24))),((COLUMNS('Analysis Sheet'!$B$24:$B$24)-(OFFSET('Values Table'!T2,0,0)))*LEN('Analysis Sheet'!$B$24))+1,LEN('Analysis Sheet'!$B$24))))</f>
        <v/>
      </c>
      <c r="I24" s="50" t="str">
        <f ca="1">IF(NOT(ISBLANK($B$24)),TRIM(MID(SUBSTITUTE('Analysis Sheet'!$B$24,", ",REPT(" ",LEN('Analysis Sheet'!$B$24))),((COLUMNS('Analysis Sheet'!$B$24:$B$24)-(OFFSET('Values Table'!U2,0,0)))*LEN('Analysis Sheet'!$B$24))+1,LEN('Analysis Sheet'!$B$24))))</f>
        <v/>
      </c>
      <c r="J24" s="50" t="str">
        <f ca="1">IF(NOT(ISBLANK($B$24)),TRIM(MID(SUBSTITUTE('Analysis Sheet'!$B$24,", ",REPT(" ",LEN('Analysis Sheet'!$B$24))),((COLUMNS('Analysis Sheet'!$B$24:$B$24)-(OFFSET('Values Table'!V2,0,0)))*LEN('Analysis Sheet'!$B$24))+1,LEN('Analysis Sheet'!$B$24))))</f>
        <v/>
      </c>
      <c r="K24" s="50" t="str">
        <f ca="1">IF(NOT(ISBLANK($B$24)),TRIM(MID(SUBSTITUTE('Analysis Sheet'!$B$24,", ",REPT(" ",LEN('Analysis Sheet'!$B$24))),((COLUMNS('Analysis Sheet'!$B$24:$B$24)-(OFFSET('Values Table'!W2,0,0)))*LEN('Analysis Sheet'!$B$24))+1,LEN('Analysis Sheet'!$B$24))))</f>
        <v/>
      </c>
      <c r="L24" s="50" t="str">
        <f ca="1">IF(NOT(ISBLANK($B$24)),TRIM(MID(SUBSTITUTE('Analysis Sheet'!$B$24,", ",REPT(" ",LEN('Analysis Sheet'!$B$24))),((COLUMNS('Analysis Sheet'!$B$24:$B$24)-(OFFSET('Values Table'!X2,0,0)))*LEN('Analysis Sheet'!$B$24))+1,LEN('Analysis Sheet'!$B$24))))</f>
        <v/>
      </c>
      <c r="M24" s="50" t="str">
        <f ca="1">IF(NOT(ISBLANK($B$24)),TRIM(MID(SUBSTITUTE('Analysis Sheet'!$B$24,", ",REPT(" ",LEN('Analysis Sheet'!$B$24))),((COLUMNS('Analysis Sheet'!$B$24:$B$24)-(OFFSET('Values Table'!Y2,0,0)))*LEN('Analysis Sheet'!$B$24))+1,LEN('Analysis Sheet'!$B$24))))</f>
        <v/>
      </c>
      <c r="N24" s="50" t="str">
        <f ca="1">IF(NOT(ISBLANK($B$24)),TRIM(MID(SUBSTITUTE('Analysis Sheet'!$B$24,", ",REPT(" ",LEN('Analysis Sheet'!$B$24))),((COLUMNS('Analysis Sheet'!$B$24:$B$24)-(OFFSET('Values Table'!Z2,0,0)))*LEN('Analysis Sheet'!$B$24))+1,LEN('Analysis Sheet'!$B$24))))</f>
        <v/>
      </c>
      <c r="O24" s="50" t="str">
        <f ca="1">IF(NOT(ISBLANK($B$24)),TRIM(MID(SUBSTITUTE('Analysis Sheet'!$B$24,", ",REPT(" ",LEN('Analysis Sheet'!$B$24))),((COLUMNS('Analysis Sheet'!$B$24:$B$24)-(OFFSET('Values Table'!AA2,0,0)))*LEN('Analysis Sheet'!$B$24))+1,LEN('Analysis Sheet'!$B$24))))</f>
        <v/>
      </c>
      <c r="P24" s="50" t="str">
        <f ca="1">IF(NOT(ISBLANK($B$24)),TRIM(MID(SUBSTITUTE('Analysis Sheet'!$B$24,", ",REPT(" ",LEN('Analysis Sheet'!$B$24))),((COLUMNS('Analysis Sheet'!$B$24:$B$24)-(OFFSET('Values Table'!AB2,0,0)))*LEN('Analysis Sheet'!$B$24))+1,LEN('Analysis Sheet'!$B$24))))</f>
        <v/>
      </c>
      <c r="Q24" s="50" t="str">
        <f ca="1">IF(NOT(ISBLANK($B$24)),TRIM(MID(SUBSTITUTE('Analysis Sheet'!$B$24,", ",REPT(" ",LEN('Analysis Sheet'!$B$24))),((COLUMNS('Analysis Sheet'!$B$24:$B$24)-(OFFSET('Values Table'!AC2,0,0)))*LEN('Analysis Sheet'!$B$24))+1,LEN('Analysis Sheet'!$B$24))))</f>
        <v/>
      </c>
      <c r="R24" s="50" t="str">
        <f ca="1">IF(NOT(ISBLANK($B$24)),TRIM(MID(SUBSTITUTE('Analysis Sheet'!$B$24,", ",REPT(" ",LEN('Analysis Sheet'!$B$24))),((COLUMNS('Analysis Sheet'!$B$24:$B$24)-(OFFSET('Values Table'!AD2,0,0)))*LEN('Analysis Sheet'!$B$24))+1,LEN('Analysis Sheet'!$B$24))))</f>
        <v/>
      </c>
      <c r="S24" s="50" t="str">
        <f ca="1">IF(NOT(ISBLANK($B$24)),TRIM(MID(SUBSTITUTE('Analysis Sheet'!$B$24,", ",REPT(" ",LEN('Analysis Sheet'!$B$24))),((COLUMNS('Analysis Sheet'!$B$24:$B$24)-(OFFSET('Values Table'!AE2,0,0)))*LEN('Analysis Sheet'!$B$24))+1,LEN('Analysis Sheet'!$B$24))))</f>
        <v/>
      </c>
      <c r="T24" s="50" t="str">
        <f ca="1">IF(NOT(ISBLANK($B$24)),TRIM(MID(SUBSTITUTE('Analysis Sheet'!$B$24,", ",REPT(" ",LEN('Analysis Sheet'!$B$24))),((COLUMNS('Analysis Sheet'!$B$24:$B$24)-(OFFSET('Values Table'!AF2,0,0)))*LEN('Analysis Sheet'!$B$24))+1,LEN('Analysis Sheet'!$B$24))))</f>
        <v/>
      </c>
      <c r="U24" s="50" t="str">
        <f ca="1">IF(NOT(ISBLANK($B$24)),TRIM(MID(SUBSTITUTE('Analysis Sheet'!$B$24,", ",REPT(" ",LEN('Analysis Sheet'!$B$24))),((COLUMNS('Analysis Sheet'!$B$24:$B$24)-(OFFSET('Values Table'!AG2,0,0)))*LEN('Analysis Sheet'!$B$24))+1,LEN('Analysis Sheet'!$B$24))))</f>
        <v/>
      </c>
      <c r="V24" s="50" t="str">
        <f ca="1">IF(NOT(ISBLANK($B$24)),TRIM(MID(SUBSTITUTE('Analysis Sheet'!$B$24,", ",REPT(" ",LEN('Analysis Sheet'!$B$24))),((COLUMNS('Analysis Sheet'!$B$24:$B$24)-(OFFSET('Values Table'!AH2,0,0)))*LEN('Analysis Sheet'!$B$24))+1,LEN('Analysis Sheet'!$B$24))))</f>
        <v/>
      </c>
      <c r="W24" s="48"/>
      <c r="X24" s="20" t="str">
        <f ca="1">UNIQUE($C$24:$V$43, 1)</f>
        <v>HEALTH</v>
      </c>
      <c r="Y24" s="21">
        <f ca="1">IFERROR(VLOOKUP('Analysis Sheet'!X24,'Values Table'!$A$2:$B$42,2,FALSE), "0")</f>
        <v>1</v>
      </c>
      <c r="Z24" s="23">
        <f ca="1">SUM('Analysis Sheet'!Y24:Y43)</f>
        <v>3</v>
      </c>
    </row>
    <row r="25" spans="1:26" s="3" customFormat="1" x14ac:dyDescent="0.3">
      <c r="A25" s="3" t="str">
        <f>UStrip('User Ranking Form'!A25)</f>
        <v xml:space="preserve">ACCORDING TO AN INDIVIDUAL AT THE HOMELESS SYSTEMS FOR SANTA CLARA COUNTY THIS TARGET AUDIENCE EXISTS IN ABUNDANCE AND IS GROWING RAPIDLY </v>
      </c>
      <c r="B25" s="21" t="str">
        <f>IFERROR(MatchWords('Analysis Sheet'!A25, 'Values Table'!$A$2:$B$42)," ")</f>
        <v>HOMELESS</v>
      </c>
      <c r="C25" s="51" t="str">
        <f ca="1">IF(NOT(ISBLANK($B$25)),TRIM(MID(SUBSTITUTE('Analysis Sheet'!$B$25,", ",REPT(" ",LEN('Analysis Sheet'!$B$25))),((COLUMNS('Analysis Sheet'!$B$25:$B$25)-(OFFSET('Values Table'!O2,0,0)))*LEN('Analysis Sheet'!$B$25))+1,LEN('Analysis Sheet'!$B$25))))</f>
        <v>HOMELESS</v>
      </c>
      <c r="D25" s="51" t="str">
        <f ca="1">IF(NOT(ISBLANK($B$25)),TRIM(MID(SUBSTITUTE('Analysis Sheet'!$B$25,", ",REPT(" ",LEN('Analysis Sheet'!$B$25))),((COLUMNS('Analysis Sheet'!$B$25:$B$25)-(OFFSET('Values Table'!P2,0,0)))*LEN('Analysis Sheet'!$B$25))+1,LEN('Analysis Sheet'!$B$25))))</f>
        <v/>
      </c>
      <c r="E25" s="51" t="str">
        <f ca="1">IF(NOT(ISBLANK($B$25)),TRIM(MID(SUBSTITUTE('Analysis Sheet'!$B$25,", ",REPT(" ",LEN('Analysis Sheet'!$B$25))),((COLUMNS('Analysis Sheet'!$B$25:$B$25)-(OFFSET('Values Table'!Q2,0,0)))*LEN('Analysis Sheet'!$B$25))+1,LEN('Analysis Sheet'!$B$25))))</f>
        <v/>
      </c>
      <c r="F25" s="51" t="str">
        <f ca="1">IF(NOT(ISBLANK($B$25)),TRIM(MID(SUBSTITUTE('Analysis Sheet'!$B$25,", ",REPT(" ",LEN('Analysis Sheet'!$B$25))),((COLUMNS('Analysis Sheet'!$B$25:$B$25)-(OFFSET('Values Table'!R2,0,0)))*LEN('Analysis Sheet'!$B$25))+1,LEN('Analysis Sheet'!$B$25))))</f>
        <v/>
      </c>
      <c r="G25" s="51" t="str">
        <f ca="1">IF(NOT(ISBLANK($B$25)),TRIM(MID(SUBSTITUTE('Analysis Sheet'!$B$25,", ",REPT(" ",LEN('Analysis Sheet'!$B$25))),((COLUMNS('Analysis Sheet'!$B$25:$B$25)-(OFFSET('Values Table'!S2,0,0)))*LEN('Analysis Sheet'!$B$25))+1,LEN('Analysis Sheet'!$B$25))))</f>
        <v/>
      </c>
      <c r="H25" s="51" t="str">
        <f ca="1">IF(NOT(ISBLANK($B$25)),TRIM(MID(SUBSTITUTE('Analysis Sheet'!$B$25,", ",REPT(" ",LEN('Analysis Sheet'!$B$25))),((COLUMNS('Analysis Sheet'!$B$25:$B$25)-(OFFSET('Values Table'!T2,0,0)))*LEN('Analysis Sheet'!$B$25))+1,LEN('Analysis Sheet'!$B$25))))</f>
        <v/>
      </c>
      <c r="I25" s="51" t="str">
        <f ca="1">IF(NOT(ISBLANK($B$25)),TRIM(MID(SUBSTITUTE('Analysis Sheet'!$B$25,", ",REPT(" ",LEN('Analysis Sheet'!$B$25))),((COLUMNS('Analysis Sheet'!$B$25:$B$25)-(OFFSET('Values Table'!U2,0,0)))*LEN('Analysis Sheet'!$B$25))+1,LEN('Analysis Sheet'!$B$25))))</f>
        <v/>
      </c>
      <c r="J25" s="51" t="str">
        <f ca="1">IF(NOT(ISBLANK($B$25)),TRIM(MID(SUBSTITUTE('Analysis Sheet'!$B$25,", ",REPT(" ",LEN('Analysis Sheet'!$B$25))),((COLUMNS('Analysis Sheet'!$B$25:$B$25)-(OFFSET('Values Table'!V2,0,0)))*LEN('Analysis Sheet'!$B$25))+1,LEN('Analysis Sheet'!$B$25))))</f>
        <v/>
      </c>
      <c r="K25" s="51" t="str">
        <f ca="1">IF(NOT(ISBLANK($B$25)),TRIM(MID(SUBSTITUTE('Analysis Sheet'!$B$25,", ",REPT(" ",LEN('Analysis Sheet'!$B$25))),((COLUMNS('Analysis Sheet'!$B$25:$B$25)-(OFFSET('Values Table'!W2,0,0)))*LEN('Analysis Sheet'!$B$25))+1,LEN('Analysis Sheet'!$B$25))))</f>
        <v/>
      </c>
      <c r="L25" s="51" t="str">
        <f ca="1">IF(NOT(ISBLANK($B$25)),TRIM(MID(SUBSTITUTE('Analysis Sheet'!$B$25,", ",REPT(" ",LEN('Analysis Sheet'!$B$25))),((COLUMNS('Analysis Sheet'!$B$25:$B$25)-(OFFSET('Values Table'!X2,0,0)))*LEN('Analysis Sheet'!$B$25))+1,LEN('Analysis Sheet'!$B$25))))</f>
        <v/>
      </c>
      <c r="M25" s="51" t="str">
        <f ca="1">IF(NOT(ISBLANK($B$25)),TRIM(MID(SUBSTITUTE('Analysis Sheet'!$B$25,", ",REPT(" ",LEN('Analysis Sheet'!$B$25))),((COLUMNS('Analysis Sheet'!$B$25:$B$25)-(OFFSET('Values Table'!Y2,0,0)))*LEN('Analysis Sheet'!$B$25))+1,LEN('Analysis Sheet'!$B$25))))</f>
        <v/>
      </c>
      <c r="N25" s="51" t="str">
        <f ca="1">IF(NOT(ISBLANK($B$25)),TRIM(MID(SUBSTITUTE('Analysis Sheet'!$B$25,", ",REPT(" ",LEN('Analysis Sheet'!$B$25))),((COLUMNS('Analysis Sheet'!$B$25:$B$25)-(OFFSET('Values Table'!Z2,0,0)))*LEN('Analysis Sheet'!$B$25))+1,LEN('Analysis Sheet'!$B$25))))</f>
        <v/>
      </c>
      <c r="O25" s="51" t="str">
        <f ca="1">IF(NOT(ISBLANK($B$25)),TRIM(MID(SUBSTITUTE('Analysis Sheet'!$B$25,", ",REPT(" ",LEN('Analysis Sheet'!$B$25))),((COLUMNS('Analysis Sheet'!$B$25:$B$25)-(OFFSET('Values Table'!AA2,0,0)))*LEN('Analysis Sheet'!$B$25))+1,LEN('Analysis Sheet'!$B$25))))</f>
        <v/>
      </c>
      <c r="P25" s="51" t="str">
        <f ca="1">IF(NOT(ISBLANK($B$25)),TRIM(MID(SUBSTITUTE('Analysis Sheet'!$B$25,", ",REPT(" ",LEN('Analysis Sheet'!$B$25))),((COLUMNS('Analysis Sheet'!$B$25:$B$25)-(OFFSET('Values Table'!AB2,0,0)))*LEN('Analysis Sheet'!$B$25))+1,LEN('Analysis Sheet'!$B$25))))</f>
        <v/>
      </c>
      <c r="Q25" s="51" t="str">
        <f ca="1">IF(NOT(ISBLANK($B$25)),TRIM(MID(SUBSTITUTE('Analysis Sheet'!$B$25,", ",REPT(" ",LEN('Analysis Sheet'!$B$25))),((COLUMNS('Analysis Sheet'!$B$25:$B$25)-(OFFSET('Values Table'!AC2,0,0)))*LEN('Analysis Sheet'!$B$25))+1,LEN('Analysis Sheet'!$B$25))))</f>
        <v/>
      </c>
      <c r="R25" s="51" t="str">
        <f ca="1">IF(NOT(ISBLANK($B$25)),TRIM(MID(SUBSTITUTE('Analysis Sheet'!$B$25,", ",REPT(" ",LEN('Analysis Sheet'!$B$25))),((COLUMNS('Analysis Sheet'!$B$25:$B$25)-(OFFSET('Values Table'!AD2,0,0)))*LEN('Analysis Sheet'!$B$25))+1,LEN('Analysis Sheet'!$B$25))))</f>
        <v/>
      </c>
      <c r="S25" s="51" t="str">
        <f ca="1">IF(NOT(ISBLANK($B$25)),TRIM(MID(SUBSTITUTE('Analysis Sheet'!$B$25,", ",REPT(" ",LEN('Analysis Sheet'!$B$25))),((COLUMNS('Analysis Sheet'!$B$25:$B$25)-(OFFSET('Values Table'!AE2,0,0)))*LEN('Analysis Sheet'!$B$25))+1,LEN('Analysis Sheet'!$B$25))))</f>
        <v/>
      </c>
      <c r="T25" s="51" t="str">
        <f ca="1">IF(NOT(ISBLANK($B$25)),TRIM(MID(SUBSTITUTE('Analysis Sheet'!$B$25,", ",REPT(" ",LEN('Analysis Sheet'!$B$25))),((COLUMNS('Analysis Sheet'!$B$25:$B$25)-(OFFSET('Values Table'!AF2,0,0)))*LEN('Analysis Sheet'!$B$25))+1,LEN('Analysis Sheet'!$B$25))))</f>
        <v/>
      </c>
      <c r="U25" s="51" t="str">
        <f ca="1">IF(NOT(ISBLANK($B$25)),TRIM(MID(SUBSTITUTE('Analysis Sheet'!$B$25,", ",REPT(" ",LEN('Analysis Sheet'!$B$25))),((COLUMNS('Analysis Sheet'!$B$25:$B$25)-(OFFSET('Values Table'!AG2,0,0)))*LEN('Analysis Sheet'!$B$25))+1,LEN('Analysis Sheet'!$B$25))))</f>
        <v/>
      </c>
      <c r="V25" s="51" t="str">
        <f ca="1">IF(NOT(ISBLANK($B$25)),TRIM(MID(SUBSTITUTE('Analysis Sheet'!$B$25,", ",REPT(" ",LEN('Analysis Sheet'!$B$25))),((COLUMNS('Analysis Sheet'!$B$25:$B$25)-(OFFSET('Values Table'!AH2,0,0)))*LEN('Analysis Sheet'!$B$25))+1,LEN('Analysis Sheet'!$B$25))))</f>
        <v/>
      </c>
      <c r="W25" s="42"/>
      <c r="X25" s="20" t="str">
        <f ca="1">UNIQUE($C$24:$V$43,2)</f>
        <v>HOMELESS</v>
      </c>
      <c r="Y25" s="21">
        <f ca="1">IFERROR(VLOOKUP('Analysis Sheet'!X25,'Values Table'!$A$2:$B$42,2,FALSE), "0")</f>
        <v>1</v>
      </c>
    </row>
    <row r="26" spans="1:26" s="3" customFormat="1" x14ac:dyDescent="0.3">
      <c r="A26" s="3" t="str">
        <f>UStrip('User Ranking Form'!A26)</f>
        <v xml:space="preserve">WE PLAN TO IDENTIFY INTERVIEW AND SCREEN INDIVIDUALS THAT NEED TRANSITIONAL HOUSING FOR TEMPORARY PERIODS RANGING FROM SIX MONTHS TO A YEAR PROVIDE A SINGLE OR DOUBLE OCCUPANCY TINY HOME IN EXCHANGE FOR A SMALL PERCENTAGE OF THEIR INCOME AND CONNECT THEM WITH RESOURCES FROM VARIOUS NONPROFITS AND GOVERNMENTAL AGENCIES </v>
      </c>
      <c r="B26" s="21" t="str">
        <f>IFERROR(MatchWords('Analysis Sheet'!A26, 'Values Table'!$A$2:$B$42)," ")</f>
        <v>HOUSING</v>
      </c>
      <c r="C26" s="51" t="str">
        <f ca="1">IF(NOT(ISBLANK($B$26)),TRIM(MID(SUBSTITUTE('Analysis Sheet'!$B$26,", ",REPT(" ",LEN('Analysis Sheet'!$B$26))),((COLUMNS('Analysis Sheet'!$B$26:$B$26)-(OFFSET('Values Table'!O2,0,0)))*LEN('Analysis Sheet'!$B$26))+1,LEN('Analysis Sheet'!$B$26))))</f>
        <v>HOUSING</v>
      </c>
      <c r="D26" s="51" t="str">
        <f ca="1">IF(NOT(ISBLANK($B$26)),TRIM(MID(SUBSTITUTE('Analysis Sheet'!$B$26,", ",REPT(" ",LEN('Analysis Sheet'!$B$26))),((COLUMNS('Analysis Sheet'!$B$26:$B$26)-(OFFSET('Values Table'!P2,0,0)))*LEN('Analysis Sheet'!$B$26))+1,LEN('Analysis Sheet'!$B$26))))</f>
        <v/>
      </c>
      <c r="E26" s="51" t="str">
        <f ca="1">IF(NOT(ISBLANK($B$26)),TRIM(MID(SUBSTITUTE('Analysis Sheet'!$B$26,", ",REPT(" ",LEN('Analysis Sheet'!$B$26))),((COLUMNS('Analysis Sheet'!$B$26:$B$26)-(OFFSET('Values Table'!Q2,0,0)))*LEN('Analysis Sheet'!$B$26))+1,LEN('Analysis Sheet'!$B$26))))</f>
        <v/>
      </c>
      <c r="F26" s="51" t="str">
        <f ca="1">IF(NOT(ISBLANK($B$26)),TRIM(MID(SUBSTITUTE('Analysis Sheet'!$B$26,", ",REPT(" ",LEN('Analysis Sheet'!$B$26))),((COLUMNS('Analysis Sheet'!$B$26:$B$26)-(OFFSET('Values Table'!R2,0,0)))*LEN('Analysis Sheet'!$B$26))+1,LEN('Analysis Sheet'!$B$26))))</f>
        <v/>
      </c>
      <c r="G26" s="51" t="str">
        <f ca="1">IF(NOT(ISBLANK($B$26)),TRIM(MID(SUBSTITUTE('Analysis Sheet'!$B$26,", ",REPT(" ",LEN('Analysis Sheet'!$B$26))),((COLUMNS('Analysis Sheet'!$B$26:$B$26)-(OFFSET('Values Table'!S2,0,0)))*LEN('Analysis Sheet'!$B$26))+1,LEN('Analysis Sheet'!$B$26))))</f>
        <v/>
      </c>
      <c r="H26" s="51" t="str">
        <f ca="1">IF(NOT(ISBLANK($B$26)),TRIM(MID(SUBSTITUTE('Analysis Sheet'!$B$26,", ",REPT(" ",LEN('Analysis Sheet'!$B$26))),((COLUMNS('Analysis Sheet'!$B$26:$B$26)-(OFFSET('Values Table'!T2,0,0)))*LEN('Analysis Sheet'!$B$26))+1,LEN('Analysis Sheet'!$B$26))))</f>
        <v/>
      </c>
      <c r="I26" s="51" t="str">
        <f ca="1">IF(NOT(ISBLANK($B$26)),TRIM(MID(SUBSTITUTE('Analysis Sheet'!$B$26,", ",REPT(" ",LEN('Analysis Sheet'!$B$26))),((COLUMNS('Analysis Sheet'!$B$26:$B$26)-(OFFSET('Values Table'!U2,0,0)))*LEN('Analysis Sheet'!$B$26))+1,LEN('Analysis Sheet'!$B$26))))</f>
        <v/>
      </c>
      <c r="J26" s="51" t="str">
        <f ca="1">IF(NOT(ISBLANK($B$26)),TRIM(MID(SUBSTITUTE('Analysis Sheet'!$B$26,", ",REPT(" ",LEN('Analysis Sheet'!$B$26))),((COLUMNS('Analysis Sheet'!$B$26:$B$26)-(OFFSET('Values Table'!V2,0,0)))*LEN('Analysis Sheet'!$B$26))+1,LEN('Analysis Sheet'!$B$26))))</f>
        <v/>
      </c>
      <c r="K26" s="51" t="str">
        <f ca="1">IF(NOT(ISBLANK($B$26)),TRIM(MID(SUBSTITUTE('Analysis Sheet'!$B$26,", ",REPT(" ",LEN('Analysis Sheet'!$B$26))),((COLUMNS('Analysis Sheet'!$B$26:$B$26)-(OFFSET('Values Table'!W2,0,0)))*LEN('Analysis Sheet'!$B$26))+1,LEN('Analysis Sheet'!$B$26))))</f>
        <v/>
      </c>
      <c r="L26" s="51" t="str">
        <f ca="1">IF(NOT(ISBLANK($B$26)),TRIM(MID(SUBSTITUTE('Analysis Sheet'!$B$26,", ",REPT(" ",LEN('Analysis Sheet'!$B$26))),((COLUMNS('Analysis Sheet'!$B$26:$B$26)-(OFFSET('Values Table'!X2,0,0)))*LEN('Analysis Sheet'!$B$26))+1,LEN('Analysis Sheet'!$B$26))))</f>
        <v/>
      </c>
      <c r="M26" s="51" t="str">
        <f ca="1">IF(NOT(ISBLANK($B$26)),TRIM(MID(SUBSTITUTE('Analysis Sheet'!$B$26,", ",REPT(" ",LEN('Analysis Sheet'!$B$26))),((COLUMNS('Analysis Sheet'!$B$26:$B$26)-(OFFSET('Values Table'!Y2,0,0)))*LEN('Analysis Sheet'!$B$26))+1,LEN('Analysis Sheet'!$B$26))))</f>
        <v/>
      </c>
      <c r="N26" s="51" t="str">
        <f ca="1">IF(NOT(ISBLANK($B$26)),TRIM(MID(SUBSTITUTE('Analysis Sheet'!$B$26,", ",REPT(" ",LEN('Analysis Sheet'!$B$26))),((COLUMNS('Analysis Sheet'!$B$26:$B$26)-(OFFSET('Values Table'!Z2,0,0)))*LEN('Analysis Sheet'!$B$26))+1,LEN('Analysis Sheet'!$B$26))))</f>
        <v/>
      </c>
      <c r="O26" s="51" t="str">
        <f ca="1">IF(NOT(ISBLANK($B$26)),TRIM(MID(SUBSTITUTE('Analysis Sheet'!$B$26,", ",REPT(" ",LEN('Analysis Sheet'!$B$26))),((COLUMNS('Analysis Sheet'!$B$26:$B$26)-(OFFSET('Values Table'!AA2,0,0)))*LEN('Analysis Sheet'!$B$26))+1,LEN('Analysis Sheet'!$B$26))))</f>
        <v/>
      </c>
      <c r="P26" s="51" t="str">
        <f ca="1">IF(NOT(ISBLANK($B$26)),TRIM(MID(SUBSTITUTE('Analysis Sheet'!$B$26,", ",REPT(" ",LEN('Analysis Sheet'!$B$26))),((COLUMNS('Analysis Sheet'!$B$26:$B$26)-(OFFSET('Values Table'!AB2,0,0)))*LEN('Analysis Sheet'!$B$26))+1,LEN('Analysis Sheet'!$B$26))))</f>
        <v/>
      </c>
      <c r="Q26" s="51" t="str">
        <f ca="1">IF(NOT(ISBLANK($B$26)),TRIM(MID(SUBSTITUTE('Analysis Sheet'!$B$26,", ",REPT(" ",LEN('Analysis Sheet'!$B$26))),((COLUMNS('Analysis Sheet'!$B$26:$B$26)-(OFFSET('Values Table'!AC2,0,0)))*LEN('Analysis Sheet'!$B$26))+1,LEN('Analysis Sheet'!$B$26))))</f>
        <v/>
      </c>
      <c r="R26" s="51" t="str">
        <f ca="1">IF(NOT(ISBLANK($B$26)),TRIM(MID(SUBSTITUTE('Analysis Sheet'!$B$26,", ",REPT(" ",LEN('Analysis Sheet'!$B$26))),((COLUMNS('Analysis Sheet'!$B$26:$B$26)-(OFFSET('Values Table'!AD2,0,0)))*LEN('Analysis Sheet'!$B$26))+1,LEN('Analysis Sheet'!$B$26))))</f>
        <v/>
      </c>
      <c r="S26" s="51" t="str">
        <f ca="1">IF(NOT(ISBLANK($B$26)),TRIM(MID(SUBSTITUTE('Analysis Sheet'!$B$26,", ",REPT(" ",LEN('Analysis Sheet'!$B$26))),((COLUMNS('Analysis Sheet'!$B$26:$B$26)-(OFFSET('Values Table'!AE2,0,0)))*LEN('Analysis Sheet'!$B$26))+1,LEN('Analysis Sheet'!$B$26))))</f>
        <v/>
      </c>
      <c r="T26" s="51" t="str">
        <f ca="1">IF(NOT(ISBLANK($B$26)),TRIM(MID(SUBSTITUTE('Analysis Sheet'!$B$26,", ",REPT(" ",LEN('Analysis Sheet'!$B$26))),((COLUMNS('Analysis Sheet'!$B$26:$B$26)-(OFFSET('Values Table'!AF2,0,0)))*LEN('Analysis Sheet'!$B$26))+1,LEN('Analysis Sheet'!$B$26))))</f>
        <v/>
      </c>
      <c r="U26" s="51" t="str">
        <f ca="1">IF(NOT(ISBLANK($B$26)),TRIM(MID(SUBSTITUTE('Analysis Sheet'!$B$26,", ",REPT(" ",LEN('Analysis Sheet'!$B$26))),((COLUMNS('Analysis Sheet'!$B$26:$B$26)-(OFFSET('Values Table'!AG2,0,0)))*LEN('Analysis Sheet'!$B$26))+1,LEN('Analysis Sheet'!$B$26))))</f>
        <v/>
      </c>
      <c r="V26" s="51" t="str">
        <f ca="1">IF(NOT(ISBLANK($B$26)),TRIM(MID(SUBSTITUTE('Analysis Sheet'!$B$26,", ",REPT(" ",LEN('Analysis Sheet'!$B$26))),((COLUMNS('Analysis Sheet'!$B$26:$B$26)-(OFFSET('Values Table'!AH2,0,0)))*LEN('Analysis Sheet'!$B$26))+1,LEN('Analysis Sheet'!$B$26))))</f>
        <v/>
      </c>
      <c r="W26" s="42"/>
      <c r="X26" s="20" t="str">
        <f ca="1">UNIQUE($C$24:$V$43, 3)</f>
        <v/>
      </c>
      <c r="Y26" s="21" t="str">
        <f ca="1">IFERROR(VLOOKUP('Analysis Sheet'!X26,'Values Table'!$A$2:$B$42,2,FALSE), "0")</f>
        <v>0</v>
      </c>
    </row>
    <row r="27" spans="1:26" s="3" customFormat="1" x14ac:dyDescent="0.3">
      <c r="A27" s="3" t="str">
        <f>UStrip('User Ranking Form'!A27)</f>
        <v>OUR ORGANIZATION IS LOOKING TO EMPLOY A FULLTIME INDIVIDUAL AS A CASE MANAGER TO ENSURE THAT EACH RESIDENTS NEEDS ARE IDENTIFIED AND MET</v>
      </c>
      <c r="B27" s="21" t="str">
        <f>IFERROR(MatchWords('Analysis Sheet'!A27, 'Values Table'!$A$2:$B$42)," ")</f>
        <v xml:space="preserve"> </v>
      </c>
      <c r="C27" s="51" t="str">
        <f ca="1">IF(NOT(ISBLANK($B$27)),TRIM(MID(SUBSTITUTE('Analysis Sheet'!$B$27,", ",REPT(" ",LEN('Analysis Sheet'!$B$27))),((COLUMNS('Analysis Sheet'!$B$27:$B$27)-(OFFSET('Values Table'!O2,0,0)))*LEN('Analysis Sheet'!$B$27))+1,LEN('Analysis Sheet'!$B$27))))</f>
        <v/>
      </c>
      <c r="D27" s="51" t="str">
        <f ca="1">IF(NOT(ISBLANK($B$27)),TRIM(MID(SUBSTITUTE('Analysis Sheet'!$B$27,", ",REPT(" ",LEN('Analysis Sheet'!$B$27))),((COLUMNS('Analysis Sheet'!$B$27:$B$27)-(OFFSET('Values Table'!P2,0,0)))*LEN('Analysis Sheet'!$B$27))+1,LEN('Analysis Sheet'!$B$27))))</f>
        <v/>
      </c>
      <c r="E27" s="51" t="str">
        <f ca="1">IF(NOT(ISBLANK($B$27)),TRIM(MID(SUBSTITUTE('Analysis Sheet'!$B$27,", ",REPT(" ",LEN('Analysis Sheet'!$B$27))),((COLUMNS('Analysis Sheet'!$B$27:$B$27)-(OFFSET('Values Table'!Q2,0,0)))*LEN('Analysis Sheet'!$B$27))+1,LEN('Analysis Sheet'!$B$27))))</f>
        <v/>
      </c>
      <c r="F27" s="51" t="str">
        <f ca="1">IF(NOT(ISBLANK($B$27)),TRIM(MID(SUBSTITUTE('Analysis Sheet'!$B$27,", ",REPT(" ",LEN('Analysis Sheet'!$B$27))),((COLUMNS('Analysis Sheet'!$B$27:$B$27)-(OFFSET('Values Table'!R2,0,0)))*LEN('Analysis Sheet'!$B$27))+1,LEN('Analysis Sheet'!$B$27))))</f>
        <v/>
      </c>
      <c r="G27" s="51" t="str">
        <f ca="1">IF(NOT(ISBLANK($B$27)),TRIM(MID(SUBSTITUTE('Analysis Sheet'!$B$27,", ",REPT(" ",LEN('Analysis Sheet'!$B$27))),((COLUMNS('Analysis Sheet'!$B$27:$B$27)-(OFFSET('Values Table'!S2,0,0)))*LEN('Analysis Sheet'!$B$27))+1,LEN('Analysis Sheet'!$B$27))))</f>
        <v/>
      </c>
      <c r="H27" s="51" t="str">
        <f ca="1">IF(NOT(ISBLANK($B$27)),TRIM(MID(SUBSTITUTE('Analysis Sheet'!$B$27,", ",REPT(" ",LEN('Analysis Sheet'!$B$27))),((COLUMNS('Analysis Sheet'!$B$27:$B$27)-(OFFSET('Values Table'!T2,0,0)))*LEN('Analysis Sheet'!$B$27))+1,LEN('Analysis Sheet'!$B$27))))</f>
        <v/>
      </c>
      <c r="I27" s="51" t="str">
        <f ca="1">IF(NOT(ISBLANK($B$27)),TRIM(MID(SUBSTITUTE('Analysis Sheet'!$B$27,", ",REPT(" ",LEN('Analysis Sheet'!$B$27))),((COLUMNS('Analysis Sheet'!$B$27:$B$27)-(OFFSET('Values Table'!U2,0,0)))*LEN('Analysis Sheet'!$B$27))+1,LEN('Analysis Sheet'!$B$27))))</f>
        <v/>
      </c>
      <c r="J27" s="51" t="str">
        <f ca="1">IF(NOT(ISBLANK($B$27)),TRIM(MID(SUBSTITUTE('Analysis Sheet'!$B$27,", ",REPT(" ",LEN('Analysis Sheet'!$B$27))),((COLUMNS('Analysis Sheet'!$B$27:$B$27)-(OFFSET('Values Table'!V2,0,0)))*LEN('Analysis Sheet'!$B$27))+1,LEN('Analysis Sheet'!$B$27))))</f>
        <v/>
      </c>
      <c r="K27" s="51" t="str">
        <f ca="1">IF(NOT(ISBLANK($B$27)),TRIM(MID(SUBSTITUTE('Analysis Sheet'!$B$27,", ",REPT(" ",LEN('Analysis Sheet'!$B$27))),((COLUMNS('Analysis Sheet'!$B$27:$B$27)-(OFFSET('Values Table'!W2,0,0)))*LEN('Analysis Sheet'!$B$27))+1,LEN('Analysis Sheet'!$B$27))))</f>
        <v/>
      </c>
      <c r="L27" s="51" t="str">
        <f ca="1">IF(NOT(ISBLANK($B$27)),TRIM(MID(SUBSTITUTE('Analysis Sheet'!$B$27,", ",REPT(" ",LEN('Analysis Sheet'!$B$27))),((COLUMNS('Analysis Sheet'!$B$27:$B$27)-(OFFSET('Values Table'!X2,0,0)))*LEN('Analysis Sheet'!$B$27))+1,LEN('Analysis Sheet'!$B$27))))</f>
        <v/>
      </c>
      <c r="M27" s="51" t="str">
        <f ca="1">IF(NOT(ISBLANK($B$27)),TRIM(MID(SUBSTITUTE('Analysis Sheet'!$B$27,", ",REPT(" ",LEN('Analysis Sheet'!$B$27))),((COLUMNS('Analysis Sheet'!$B$27:$B$27)-(OFFSET('Values Table'!Y2,0,0)))*LEN('Analysis Sheet'!$B$27))+1,LEN('Analysis Sheet'!$B$27))))</f>
        <v/>
      </c>
      <c r="N27" s="51" t="str">
        <f ca="1">IF(NOT(ISBLANK($B$27)),TRIM(MID(SUBSTITUTE('Analysis Sheet'!$B$27,", ",REPT(" ",LEN('Analysis Sheet'!$B$27))),((COLUMNS('Analysis Sheet'!$B$27:$B$27)-(OFFSET('Values Table'!Z2,0,0)))*LEN('Analysis Sheet'!$B$27))+1,LEN('Analysis Sheet'!$B$27))))</f>
        <v/>
      </c>
      <c r="O27" s="51" t="str">
        <f ca="1">IF(NOT(ISBLANK($B$27)),TRIM(MID(SUBSTITUTE('Analysis Sheet'!$B$27,", ",REPT(" ",LEN('Analysis Sheet'!$B$27))),((COLUMNS('Analysis Sheet'!$B$27:$B$27)-(OFFSET('Values Table'!AA2,0,0)))*LEN('Analysis Sheet'!$B$27))+1,LEN('Analysis Sheet'!$B$27))))</f>
        <v/>
      </c>
      <c r="P27" s="51" t="str">
        <f ca="1">IF(NOT(ISBLANK($B$27)),TRIM(MID(SUBSTITUTE('Analysis Sheet'!$B$27,", ",REPT(" ",LEN('Analysis Sheet'!$B$27))),((COLUMNS('Analysis Sheet'!$B$27:$B$27)-(OFFSET('Values Table'!AB2,0,0)))*LEN('Analysis Sheet'!$B$27))+1,LEN('Analysis Sheet'!$B$27))))</f>
        <v/>
      </c>
      <c r="Q27" s="51" t="str">
        <f ca="1">IF(NOT(ISBLANK($B$27)),TRIM(MID(SUBSTITUTE('Analysis Sheet'!$B$27,", ",REPT(" ",LEN('Analysis Sheet'!$B$27))),((COLUMNS('Analysis Sheet'!$B$27:$B$27)-(OFFSET('Values Table'!AC2,0,0)))*LEN('Analysis Sheet'!$B$27))+1,LEN('Analysis Sheet'!$B$27))))</f>
        <v/>
      </c>
      <c r="R27" s="51" t="str">
        <f ca="1">IF(NOT(ISBLANK($B$27)),TRIM(MID(SUBSTITUTE('Analysis Sheet'!$B$27,", ",REPT(" ",LEN('Analysis Sheet'!$B$27))),((COLUMNS('Analysis Sheet'!$B$27:$B$27)-(OFFSET('Values Table'!AD2,0,0)))*LEN('Analysis Sheet'!$B$27))+1,LEN('Analysis Sheet'!$B$27))))</f>
        <v/>
      </c>
      <c r="S27" s="51" t="str">
        <f ca="1">IF(NOT(ISBLANK($B$27)),TRIM(MID(SUBSTITUTE('Analysis Sheet'!$B$27,", ",REPT(" ",LEN('Analysis Sheet'!$B$27))),((COLUMNS('Analysis Sheet'!$B$27:$B$27)-(OFFSET('Values Table'!AE2,0,0)))*LEN('Analysis Sheet'!$B$27))+1,LEN('Analysis Sheet'!$B$27))))</f>
        <v/>
      </c>
      <c r="T27" s="51" t="str">
        <f ca="1">IF(NOT(ISBLANK($B$27)),TRIM(MID(SUBSTITUTE('Analysis Sheet'!$B$27,", ",REPT(" ",LEN('Analysis Sheet'!$B$27))),((COLUMNS('Analysis Sheet'!$B$27:$B$27)-(OFFSET('Values Table'!AF2,0,0)))*LEN('Analysis Sheet'!$B$27))+1,LEN('Analysis Sheet'!$B$27))))</f>
        <v/>
      </c>
      <c r="U27" s="51" t="str">
        <f ca="1">IF(NOT(ISBLANK($B$27)),TRIM(MID(SUBSTITUTE('Analysis Sheet'!$B$27,", ",REPT(" ",LEN('Analysis Sheet'!$B$27))),((COLUMNS('Analysis Sheet'!$B$27:$B$27)-(OFFSET('Values Table'!AG2,0,0)))*LEN('Analysis Sheet'!$B$27))+1,LEN('Analysis Sheet'!$B$27))))</f>
        <v/>
      </c>
      <c r="V27" s="51" t="str">
        <f ca="1">IF(NOT(ISBLANK($B$27)),TRIM(MID(SUBSTITUTE('Analysis Sheet'!$B$27,", ",REPT(" ",LEN('Analysis Sheet'!$B$27))),((COLUMNS('Analysis Sheet'!$B$27:$B$27)-(OFFSET('Values Table'!AH2,0,0)))*LEN('Analysis Sheet'!$B$27))+1,LEN('Analysis Sheet'!$B$27))))</f>
        <v/>
      </c>
      <c r="W27" s="42"/>
      <c r="X27" s="20" t="str">
        <f ca="1">UNIQUE($C$24:$V$43, 4)</f>
        <v>HOUSING</v>
      </c>
      <c r="Y27" s="21">
        <f ca="1">IFERROR(VLOOKUP('Analysis Sheet'!X27,'Values Table'!$A$2:$B$42,2,FALSE), "0")</f>
        <v>1</v>
      </c>
    </row>
    <row r="28" spans="1:26" s="3" customFormat="1" x14ac:dyDescent="0.3">
      <c r="A28" s="3" t="str">
        <f>UStrip('User Ranking Form'!A28)</f>
        <v xml:space="preserve">OUR GOAL IS FOR RESIDENTS TO BE FULLY EMPLOYED AND LIVING IN PERMANENT HOUSING WHEN THEY LEAVE THE COMMUNITY </v>
      </c>
      <c r="B28" s="21" t="str">
        <f>IFERROR(MatchWords('Analysis Sheet'!A28, 'Values Table'!$A$2:$B$42)," ")</f>
        <v>HOUSING</v>
      </c>
      <c r="C28" s="51" t="str">
        <f ca="1">IF(NOT(ISBLANK($B$28)),TRIM(MID(SUBSTITUTE('Analysis Sheet'!$B$28,", ",REPT(" ",LEN('Analysis Sheet'!$B$28))),((COLUMNS('Analysis Sheet'!$B$28:$B$28)-(OFFSET('Values Table'!O2,0,0)))*LEN('Analysis Sheet'!$B$28))+1,LEN('Analysis Sheet'!$B$28))))</f>
        <v>HOUSING</v>
      </c>
      <c r="D28" s="51" t="str">
        <f ca="1">IF(NOT(ISBLANK($B$28)),TRIM(MID(SUBSTITUTE('Analysis Sheet'!$B$28,", ",REPT(" ",LEN('Analysis Sheet'!$B$28))),((COLUMNS('Analysis Sheet'!$B$28:$B$28)-(OFFSET('Values Table'!P2,0,0)))*LEN('Analysis Sheet'!$B$28))+1,LEN('Analysis Sheet'!$B$28))))</f>
        <v/>
      </c>
      <c r="E28" s="51" t="str">
        <f ca="1">IF(NOT(ISBLANK($B$28)),TRIM(MID(SUBSTITUTE('Analysis Sheet'!$B$28,", ",REPT(" ",LEN('Analysis Sheet'!$B$28))),((COLUMNS('Analysis Sheet'!$B$28:$B$28)-(OFFSET('Values Table'!Q2,0,0)))*LEN('Analysis Sheet'!$B$28))+1,LEN('Analysis Sheet'!$B$28))))</f>
        <v/>
      </c>
      <c r="F28" s="51" t="str">
        <f ca="1">IF(NOT(ISBLANK($B$28)),TRIM(MID(SUBSTITUTE('Analysis Sheet'!$B$28,", ",REPT(" ",LEN('Analysis Sheet'!$B$28))),((COLUMNS('Analysis Sheet'!$B$28:$B$28)-(OFFSET('Values Table'!R2,0,0)))*LEN('Analysis Sheet'!$B$28))+1,LEN('Analysis Sheet'!$B$28))))</f>
        <v/>
      </c>
      <c r="G28" s="51" t="str">
        <f ca="1">IF(NOT(ISBLANK($B$28)),TRIM(MID(SUBSTITUTE('Analysis Sheet'!$B$28,", ",REPT(" ",LEN('Analysis Sheet'!$B$28))),((COLUMNS('Analysis Sheet'!$B$28:$B$28)-(OFFSET('Values Table'!S2,0,0)))*LEN('Analysis Sheet'!$B$28))+1,LEN('Analysis Sheet'!$B$28))))</f>
        <v/>
      </c>
      <c r="H28" s="51" t="str">
        <f ca="1">IF(NOT(ISBLANK($B$28)),TRIM(MID(SUBSTITUTE('Analysis Sheet'!$B$28,", ",REPT(" ",LEN('Analysis Sheet'!$B$28))),((COLUMNS('Analysis Sheet'!$B$28:$B$28)-(OFFSET('Values Table'!T2,0,0)))*LEN('Analysis Sheet'!$B$28))+1,LEN('Analysis Sheet'!$B$28))))</f>
        <v/>
      </c>
      <c r="I28" s="51" t="str">
        <f ca="1">IF(NOT(ISBLANK($B$28)),TRIM(MID(SUBSTITUTE('Analysis Sheet'!$B$28,", ",REPT(" ",LEN('Analysis Sheet'!$B$28))),((COLUMNS('Analysis Sheet'!$B$28:$B$28)-(OFFSET('Values Table'!U2,0,0)))*LEN('Analysis Sheet'!$B$28))+1,LEN('Analysis Sheet'!$B$28))))</f>
        <v/>
      </c>
      <c r="J28" s="51" t="str">
        <f ca="1">IF(NOT(ISBLANK($B$28)),TRIM(MID(SUBSTITUTE('Analysis Sheet'!$B$28,", ",REPT(" ",LEN('Analysis Sheet'!$B$28))),((COLUMNS('Analysis Sheet'!$B$28:$B$28)-(OFFSET('Values Table'!V2,0,0)))*LEN('Analysis Sheet'!$B$28))+1,LEN('Analysis Sheet'!$B$28))))</f>
        <v/>
      </c>
      <c r="K28" s="51" t="str">
        <f ca="1">IF(NOT(ISBLANK($B$28)),TRIM(MID(SUBSTITUTE('Analysis Sheet'!$B$28,", ",REPT(" ",LEN('Analysis Sheet'!$B$28))),((COLUMNS('Analysis Sheet'!$B$28:$B$28)-(OFFSET('Values Table'!W2,0,0)))*LEN('Analysis Sheet'!$B$28))+1,LEN('Analysis Sheet'!$B$28))))</f>
        <v/>
      </c>
      <c r="L28" s="51" t="str">
        <f ca="1">IF(NOT(ISBLANK($B$28)),TRIM(MID(SUBSTITUTE('Analysis Sheet'!$B$28,", ",REPT(" ",LEN('Analysis Sheet'!$B$28))),((COLUMNS('Analysis Sheet'!$B$28:$B$28)-(OFFSET('Values Table'!X2,0,0)))*LEN('Analysis Sheet'!$B$28))+1,LEN('Analysis Sheet'!$B$28))))</f>
        <v/>
      </c>
      <c r="M28" s="51" t="str">
        <f ca="1">IF(NOT(ISBLANK($B$28)),TRIM(MID(SUBSTITUTE('Analysis Sheet'!$B$28,", ",REPT(" ",LEN('Analysis Sheet'!$B$28))),((COLUMNS('Analysis Sheet'!$B$28:$B$28)-(OFFSET('Values Table'!Y2,0,0)))*LEN('Analysis Sheet'!$B$28))+1,LEN('Analysis Sheet'!$B$28))))</f>
        <v/>
      </c>
      <c r="N28" s="51" t="str">
        <f ca="1">IF(NOT(ISBLANK($B$28)),TRIM(MID(SUBSTITUTE('Analysis Sheet'!$B$28,", ",REPT(" ",LEN('Analysis Sheet'!$B$28))),((COLUMNS('Analysis Sheet'!$B$28:$B$28)-(OFFSET('Values Table'!Z2,0,0)))*LEN('Analysis Sheet'!$B$28))+1,LEN('Analysis Sheet'!$B$28))))</f>
        <v/>
      </c>
      <c r="O28" s="51" t="str">
        <f ca="1">IF(NOT(ISBLANK($B$28)),TRIM(MID(SUBSTITUTE('Analysis Sheet'!$B$28,", ",REPT(" ",LEN('Analysis Sheet'!$B$28))),((COLUMNS('Analysis Sheet'!$B$28:$B$28)-(OFFSET('Values Table'!AA2,0,0)))*LEN('Analysis Sheet'!$B$28))+1,LEN('Analysis Sheet'!$B$28))))</f>
        <v/>
      </c>
      <c r="P28" s="51" t="str">
        <f ca="1">IF(NOT(ISBLANK($B$28)),TRIM(MID(SUBSTITUTE('Analysis Sheet'!$B$28,", ",REPT(" ",LEN('Analysis Sheet'!$B$28))),((COLUMNS('Analysis Sheet'!$B$28:$B$28)-(OFFSET('Values Table'!AB2,0,0)))*LEN('Analysis Sheet'!$B$28))+1,LEN('Analysis Sheet'!$B$28))))</f>
        <v/>
      </c>
      <c r="Q28" s="51" t="str">
        <f ca="1">IF(NOT(ISBLANK($B$28)),TRIM(MID(SUBSTITUTE('Analysis Sheet'!$B$28,", ",REPT(" ",LEN('Analysis Sheet'!$B$28))),((COLUMNS('Analysis Sheet'!$B$28:$B$28)-(OFFSET('Values Table'!AC2,0,0)))*LEN('Analysis Sheet'!$B$28))+1,LEN('Analysis Sheet'!$B$28))))</f>
        <v/>
      </c>
      <c r="R28" s="51" t="str">
        <f ca="1">IF(NOT(ISBLANK($B$28)),TRIM(MID(SUBSTITUTE('Analysis Sheet'!$B$28,", ",REPT(" ",LEN('Analysis Sheet'!$B$28))),((COLUMNS('Analysis Sheet'!$B$28:$B$28)-(OFFSET('Values Table'!AD2,0,0)))*LEN('Analysis Sheet'!$B$28))+1,LEN('Analysis Sheet'!$B$28))))</f>
        <v/>
      </c>
      <c r="S28" s="51" t="str">
        <f ca="1">IF(NOT(ISBLANK($B$28)),TRIM(MID(SUBSTITUTE('Analysis Sheet'!$B$28,", ",REPT(" ",LEN('Analysis Sheet'!$B$28))),((COLUMNS('Analysis Sheet'!$B$28:$B$28)-(OFFSET('Values Table'!AE2,0,0)))*LEN('Analysis Sheet'!$B$28))+1,LEN('Analysis Sheet'!$B$28))))</f>
        <v/>
      </c>
      <c r="T28" s="51" t="str">
        <f ca="1">IF(NOT(ISBLANK($B$28)),TRIM(MID(SUBSTITUTE('Analysis Sheet'!$B$28,", ",REPT(" ",LEN('Analysis Sheet'!$B$28))),((COLUMNS('Analysis Sheet'!$B$28:$B$28)-(OFFSET('Values Table'!AF2,0,0)))*LEN('Analysis Sheet'!$B$28))+1,LEN('Analysis Sheet'!$B$28))))</f>
        <v/>
      </c>
      <c r="U28" s="51" t="str">
        <f ca="1">IF(NOT(ISBLANK($B$28)),TRIM(MID(SUBSTITUTE('Analysis Sheet'!$B$28,", ",REPT(" ",LEN('Analysis Sheet'!$B$28))),((COLUMNS('Analysis Sheet'!$B$28:$B$28)-(OFFSET('Values Table'!AG2,0,0)))*LEN('Analysis Sheet'!$B$28))+1,LEN('Analysis Sheet'!$B$28))))</f>
        <v/>
      </c>
      <c r="V28" s="51" t="str">
        <f ca="1">IF(NOT(ISBLANK($B$28)),TRIM(MID(SUBSTITUTE('Analysis Sheet'!$B$28,", ",REPT(" ",LEN('Analysis Sheet'!$B$28))),((COLUMNS('Analysis Sheet'!$B$28:$B$28)-(OFFSET('Values Table'!AH2,0,0)))*LEN('Analysis Sheet'!$B$28))+1,LEN('Analysis Sheet'!$B$28))))</f>
        <v/>
      </c>
      <c r="W28" s="42"/>
      <c r="X28" s="20" t="str">
        <f ca="1">UNIQUE($C$24:$V$43, 5)</f>
        <v/>
      </c>
      <c r="Y28" s="21" t="str">
        <f ca="1">IFERROR(VLOOKUP('Analysis Sheet'!X28,'Values Table'!$A$2:$B$42,2,FALSE), "0")</f>
        <v>0</v>
      </c>
    </row>
    <row r="29" spans="1:26" s="3" customFormat="1" x14ac:dyDescent="0.3">
      <c r="A29" s="3" t="str">
        <f>UStrip('User Ranking Form'!A29)</f>
        <v/>
      </c>
      <c r="B29" s="21" t="str">
        <f>IFERROR(MatchWords('Analysis Sheet'!A29, 'Values Table'!$A$2:$B$42)," ")</f>
        <v xml:space="preserve"> </v>
      </c>
      <c r="C29" s="51" t="str">
        <f ca="1">IF(NOT(ISBLANK($B$29)),TRIM(MID(SUBSTITUTE('Analysis Sheet'!$B$29,", ",REPT(" ",LEN('Analysis Sheet'!$B$29))),((COLUMNS('Analysis Sheet'!$B$29:$B$29)-(OFFSET('Values Table'!O2,0,0)))*LEN('Analysis Sheet'!$B$29))+1,LEN('Analysis Sheet'!$B$29))))</f>
        <v/>
      </c>
      <c r="D29" s="51" t="str">
        <f ca="1">IF(NOT(ISBLANK($B$29)),TRIM(MID(SUBSTITUTE('Analysis Sheet'!$B$29,", ",REPT(" ",LEN('Analysis Sheet'!$B$29))),((COLUMNS('Analysis Sheet'!$B$29:$B$29)-(OFFSET('Values Table'!P2,0,0)))*LEN('Analysis Sheet'!$B$29))+1,LEN('Analysis Sheet'!$B$29))))</f>
        <v/>
      </c>
      <c r="E29" s="51" t="str">
        <f ca="1">IF(NOT(ISBLANK($B$29)),TRIM(MID(SUBSTITUTE('Analysis Sheet'!$B$29,", ",REPT(" ",LEN('Analysis Sheet'!$B$29))),((COLUMNS('Analysis Sheet'!$B$29:$B$29)-(OFFSET('Values Table'!Q2,0,0)))*LEN('Analysis Sheet'!$B$29))+1,LEN('Analysis Sheet'!$B$29))))</f>
        <v/>
      </c>
      <c r="F29" s="51" t="str">
        <f ca="1">IF(NOT(ISBLANK($B$29)),TRIM(MID(SUBSTITUTE('Analysis Sheet'!$B$29,", ",REPT(" ",LEN('Analysis Sheet'!$B$29))),((COLUMNS('Analysis Sheet'!$B$29:$B$29)-(OFFSET('Values Table'!R2,0,0)))*LEN('Analysis Sheet'!$B$29))+1,LEN('Analysis Sheet'!$B$29))))</f>
        <v/>
      </c>
      <c r="G29" s="51" t="str">
        <f ca="1">IF(NOT(ISBLANK($B$29)),TRIM(MID(SUBSTITUTE('Analysis Sheet'!$B$29,", ",REPT(" ",LEN('Analysis Sheet'!$B$29))),((COLUMNS('Analysis Sheet'!$B$29:$B$29)-(OFFSET('Values Table'!S2,0,0)))*LEN('Analysis Sheet'!$B$29))+1,LEN('Analysis Sheet'!$B$29))))</f>
        <v/>
      </c>
      <c r="H29" s="51" t="str">
        <f ca="1">IF(NOT(ISBLANK($B$29)),TRIM(MID(SUBSTITUTE('Analysis Sheet'!$B$29,", ",REPT(" ",LEN('Analysis Sheet'!$B$29))),((COLUMNS('Analysis Sheet'!$B$29:$B$29)-(OFFSET('Values Table'!T2,0,0)))*LEN('Analysis Sheet'!$B$29))+1,LEN('Analysis Sheet'!$B$29))))</f>
        <v/>
      </c>
      <c r="I29" s="51" t="str">
        <f ca="1">IF(NOT(ISBLANK($B$29)),TRIM(MID(SUBSTITUTE('Analysis Sheet'!$B$29,", ",REPT(" ",LEN('Analysis Sheet'!$B$29))),((COLUMNS('Analysis Sheet'!$B$29:$B$29)-(OFFSET('Values Table'!U2,0,0)))*LEN('Analysis Sheet'!$B$29))+1,LEN('Analysis Sheet'!$B$29))))</f>
        <v/>
      </c>
      <c r="J29" s="51" t="str">
        <f ca="1">IF(NOT(ISBLANK($B$29)),TRIM(MID(SUBSTITUTE('Analysis Sheet'!$B$29,", ",REPT(" ",LEN('Analysis Sheet'!$B$29))),((COLUMNS('Analysis Sheet'!$B$29:$B$29)-(OFFSET('Values Table'!V2,0,0)))*LEN('Analysis Sheet'!$B$29))+1,LEN('Analysis Sheet'!$B$29))))</f>
        <v/>
      </c>
      <c r="K29" s="51" t="str">
        <f ca="1">IF(NOT(ISBLANK($B$29)),TRIM(MID(SUBSTITUTE('Analysis Sheet'!$B$29,", ",REPT(" ",LEN('Analysis Sheet'!$B$29))),((COLUMNS('Analysis Sheet'!$B$29:$B$29)-(OFFSET('Values Table'!W2,0,0)))*LEN('Analysis Sheet'!$B$29))+1,LEN('Analysis Sheet'!$B$29))))</f>
        <v/>
      </c>
      <c r="L29" s="51" t="str">
        <f ca="1">IF(NOT(ISBLANK($B$29)),TRIM(MID(SUBSTITUTE('Analysis Sheet'!$B$29,", ",REPT(" ",LEN('Analysis Sheet'!$B$29))),((COLUMNS('Analysis Sheet'!$B$29:$B$29)-(OFFSET('Values Table'!X2,0,0)))*LEN('Analysis Sheet'!$B$29))+1,LEN('Analysis Sheet'!$B$29))))</f>
        <v/>
      </c>
      <c r="M29" s="51" t="str">
        <f ca="1">IF(NOT(ISBLANK($B$29)),TRIM(MID(SUBSTITUTE('Analysis Sheet'!$B$29,", ",REPT(" ",LEN('Analysis Sheet'!$B$29))),((COLUMNS('Analysis Sheet'!$B$29:$B$29)-(OFFSET('Values Table'!Y2,0,0)))*LEN('Analysis Sheet'!$B$29))+1,LEN('Analysis Sheet'!$B$29))))</f>
        <v/>
      </c>
      <c r="N29" s="51" t="str">
        <f ca="1">IF(NOT(ISBLANK($B$29)),TRIM(MID(SUBSTITUTE('Analysis Sheet'!$B$29,", ",REPT(" ",LEN('Analysis Sheet'!$B$29))),((COLUMNS('Analysis Sheet'!$B$29:$B$29)-(OFFSET('Values Table'!Z2,0,0)))*LEN('Analysis Sheet'!$B$29))+1,LEN('Analysis Sheet'!$B$29))))</f>
        <v/>
      </c>
      <c r="O29" s="51" t="str">
        <f ca="1">IF(NOT(ISBLANK($B$29)),TRIM(MID(SUBSTITUTE('Analysis Sheet'!$B$29,", ",REPT(" ",LEN('Analysis Sheet'!$B$29))),((COLUMNS('Analysis Sheet'!$B$29:$B$29)-(OFFSET('Values Table'!AA2,0,0)))*LEN('Analysis Sheet'!$B$29))+1,LEN('Analysis Sheet'!$B$29))))</f>
        <v/>
      </c>
      <c r="P29" s="51" t="str">
        <f ca="1">IF(NOT(ISBLANK($B$29)),TRIM(MID(SUBSTITUTE('Analysis Sheet'!$B$29,", ",REPT(" ",LEN('Analysis Sheet'!$B$29))),((COLUMNS('Analysis Sheet'!$B$29:$B$29)-(OFFSET('Values Table'!AB2,0,0)))*LEN('Analysis Sheet'!$B$29))+1,LEN('Analysis Sheet'!$B$29))))</f>
        <v/>
      </c>
      <c r="Q29" s="51" t="str">
        <f ca="1">IF(NOT(ISBLANK($B$29)),TRIM(MID(SUBSTITUTE('Analysis Sheet'!$B$29,", ",REPT(" ",LEN('Analysis Sheet'!$B$29))),((COLUMNS('Analysis Sheet'!$B$29:$B$29)-(OFFSET('Values Table'!AC2,0,0)))*LEN('Analysis Sheet'!$B$29))+1,LEN('Analysis Sheet'!$B$29))))</f>
        <v/>
      </c>
      <c r="R29" s="51" t="str">
        <f ca="1">IF(NOT(ISBLANK($B$29)),TRIM(MID(SUBSTITUTE('Analysis Sheet'!$B$29,", ",REPT(" ",LEN('Analysis Sheet'!$B$29))),((COLUMNS('Analysis Sheet'!$B$29:$B$29)-(OFFSET('Values Table'!AD2,0,0)))*LEN('Analysis Sheet'!$B$29))+1,LEN('Analysis Sheet'!$B$29))))</f>
        <v/>
      </c>
      <c r="S29" s="51" t="str">
        <f ca="1">IF(NOT(ISBLANK($B$29)),TRIM(MID(SUBSTITUTE('Analysis Sheet'!$B$29,", ",REPT(" ",LEN('Analysis Sheet'!$B$29))),((COLUMNS('Analysis Sheet'!$B$29:$B$29)-(OFFSET('Values Table'!AE2,0,0)))*LEN('Analysis Sheet'!$B$29))+1,LEN('Analysis Sheet'!$B$29))))</f>
        <v/>
      </c>
      <c r="T29" s="51" t="str">
        <f ca="1">IF(NOT(ISBLANK($B$29)),TRIM(MID(SUBSTITUTE('Analysis Sheet'!$B$29,", ",REPT(" ",LEN('Analysis Sheet'!$B$29))),((COLUMNS('Analysis Sheet'!$B$29:$B$29)-(OFFSET('Values Table'!AF2,0,0)))*LEN('Analysis Sheet'!$B$29))+1,LEN('Analysis Sheet'!$B$29))))</f>
        <v/>
      </c>
      <c r="U29" s="51" t="str">
        <f ca="1">IF(NOT(ISBLANK($B$29)),TRIM(MID(SUBSTITUTE('Analysis Sheet'!$B$29,", ",REPT(" ",LEN('Analysis Sheet'!$B$29))),((COLUMNS('Analysis Sheet'!$B$29:$B$29)-(OFFSET('Values Table'!AG2,0,0)))*LEN('Analysis Sheet'!$B$29))+1,LEN('Analysis Sheet'!$B$29))))</f>
        <v/>
      </c>
      <c r="V29" s="51" t="str">
        <f ca="1">IF(NOT(ISBLANK($B$29)),TRIM(MID(SUBSTITUTE('Analysis Sheet'!$B$29,", ",REPT(" ",LEN('Analysis Sheet'!$B$29))),((COLUMNS('Analysis Sheet'!$B$29:$B$29)-(OFFSET('Values Table'!AH2,0,0)))*LEN('Analysis Sheet'!$B$29))+1,LEN('Analysis Sheet'!$B$29))))</f>
        <v/>
      </c>
      <c r="W29" s="42"/>
      <c r="X29" s="20" t="str">
        <f ca="1">UNIQUE($C$24:$V$43, 6)</f>
        <v/>
      </c>
      <c r="Y29" s="21" t="str">
        <f ca="1">IFERROR(VLOOKUP('Analysis Sheet'!X29,'Values Table'!$A$2:$B$42,2,FALSE), "0")</f>
        <v>0</v>
      </c>
    </row>
    <row r="30" spans="1:26" s="3" customFormat="1" x14ac:dyDescent="0.3">
      <c r="A30" s="3" t="str">
        <f>UStrip('User Ranking Form'!A30)</f>
        <v/>
      </c>
      <c r="B30" s="21" t="str">
        <f>IFERROR(MatchWords('Analysis Sheet'!A30, 'Values Table'!$A$2:$B$42)," ")</f>
        <v xml:space="preserve"> </v>
      </c>
      <c r="C30" s="51" t="str">
        <f ca="1">IF(NOT(ISBLANK($B$30)),TRIM(MID(SUBSTITUTE('Analysis Sheet'!$B$30,", ",REPT(" ",LEN('Analysis Sheet'!$B$30))),((COLUMNS('Analysis Sheet'!$B$30:$B$30)-(OFFSET('Values Table'!O2,0,0)))*LEN('Analysis Sheet'!$B$30))+1,LEN('Analysis Sheet'!$B$30))))</f>
        <v/>
      </c>
      <c r="D30" s="51" t="str">
        <f ca="1">IF(NOT(ISBLANK($B$30)),TRIM(MID(SUBSTITUTE('Analysis Sheet'!$B$30,", ",REPT(" ",LEN('Analysis Sheet'!$B$30))),((COLUMNS('Analysis Sheet'!$B$30:$B$30)-(OFFSET('Values Table'!P2,0,0)))*LEN('Analysis Sheet'!$B$30))+1,LEN('Analysis Sheet'!$B$30))))</f>
        <v/>
      </c>
      <c r="E30" s="51" t="str">
        <f ca="1">IF(NOT(ISBLANK($B$30)),TRIM(MID(SUBSTITUTE('Analysis Sheet'!$B$30,", ",REPT(" ",LEN('Analysis Sheet'!$B$30))),((COLUMNS('Analysis Sheet'!$B$30:$B$30)-(OFFSET('Values Table'!Q2,0,0)))*LEN('Analysis Sheet'!$B$30))+1,LEN('Analysis Sheet'!$B$30))))</f>
        <v/>
      </c>
      <c r="F30" s="51" t="str">
        <f ca="1">IF(NOT(ISBLANK($B$30)),TRIM(MID(SUBSTITUTE('Analysis Sheet'!$B$30,", ",REPT(" ",LEN('Analysis Sheet'!$B$30))),((COLUMNS('Analysis Sheet'!$B$30:$B$30)-(OFFSET('Values Table'!R2,0,0)))*LEN('Analysis Sheet'!$B$30))+1,LEN('Analysis Sheet'!$B$30))))</f>
        <v/>
      </c>
      <c r="G30" s="51" t="str">
        <f ca="1">IF(NOT(ISBLANK($B$30)),TRIM(MID(SUBSTITUTE('Analysis Sheet'!$B$30,", ",REPT(" ",LEN('Analysis Sheet'!$B$30))),((COLUMNS('Analysis Sheet'!$B$30:$B$30)-(OFFSET('Values Table'!S2,0,0)))*LEN('Analysis Sheet'!$B$30))+1,LEN('Analysis Sheet'!$B$30))))</f>
        <v/>
      </c>
      <c r="H30" s="51" t="str">
        <f ca="1">IF(NOT(ISBLANK($B$30)),TRIM(MID(SUBSTITUTE('Analysis Sheet'!$B$30,", ",REPT(" ",LEN('Analysis Sheet'!$B$30))),((COLUMNS('Analysis Sheet'!$B$30:$B$30)-(OFFSET('Values Table'!T2,0,0)))*LEN('Analysis Sheet'!$B$30))+1,LEN('Analysis Sheet'!$B$30))))</f>
        <v/>
      </c>
      <c r="I30" s="51" t="str">
        <f ca="1">IF(NOT(ISBLANK($B$30)),TRIM(MID(SUBSTITUTE('Analysis Sheet'!$B$30,", ",REPT(" ",LEN('Analysis Sheet'!$B$30))),((COLUMNS('Analysis Sheet'!$B$30:$B$30)-(OFFSET('Values Table'!U2,0,0)))*LEN('Analysis Sheet'!$B$30))+1,LEN('Analysis Sheet'!$B$30))))</f>
        <v/>
      </c>
      <c r="J30" s="51" t="str">
        <f ca="1">IF(NOT(ISBLANK($B$30)),TRIM(MID(SUBSTITUTE('Analysis Sheet'!$B$30,", ",REPT(" ",LEN('Analysis Sheet'!$B$30))),((COLUMNS('Analysis Sheet'!$B$30:$B$30)-(OFFSET('Values Table'!V2,0,0)))*LEN('Analysis Sheet'!$B$30))+1,LEN('Analysis Sheet'!$B$30))))</f>
        <v/>
      </c>
      <c r="K30" s="51" t="str">
        <f ca="1">IF(NOT(ISBLANK($B$30)),TRIM(MID(SUBSTITUTE('Analysis Sheet'!$B$30,", ",REPT(" ",LEN('Analysis Sheet'!$B$30))),((COLUMNS('Analysis Sheet'!$B$30:$B$30)-(OFFSET('Values Table'!W2,0,0)))*LEN('Analysis Sheet'!$B$30))+1,LEN('Analysis Sheet'!$B$30))))</f>
        <v/>
      </c>
      <c r="L30" s="51" t="str">
        <f ca="1">IF(NOT(ISBLANK($B$30)),TRIM(MID(SUBSTITUTE('Analysis Sheet'!$B$30,", ",REPT(" ",LEN('Analysis Sheet'!$B$30))),((COLUMNS('Analysis Sheet'!$B$30:$B$30)-(OFFSET('Values Table'!X2,0,0)))*LEN('Analysis Sheet'!$B$30))+1,LEN('Analysis Sheet'!$B$30))))</f>
        <v/>
      </c>
      <c r="M30" s="51" t="str">
        <f ca="1">IF(NOT(ISBLANK($B$30)),TRIM(MID(SUBSTITUTE('Analysis Sheet'!$B$30,", ",REPT(" ",LEN('Analysis Sheet'!$B$30))),((COLUMNS('Analysis Sheet'!$B$30:$B$30)-(OFFSET('Values Table'!Y2,0,0)))*LEN('Analysis Sheet'!$B$30))+1,LEN('Analysis Sheet'!$B$30))))</f>
        <v/>
      </c>
      <c r="N30" s="51" t="str">
        <f ca="1">IF(NOT(ISBLANK($B$30)),TRIM(MID(SUBSTITUTE('Analysis Sheet'!$B$30,", ",REPT(" ",LEN('Analysis Sheet'!$B$30))),((COLUMNS('Analysis Sheet'!$B$30:$B$30)-(OFFSET('Values Table'!Z2,0,0)))*LEN('Analysis Sheet'!$B$30))+1,LEN('Analysis Sheet'!$B$30))))</f>
        <v/>
      </c>
      <c r="O30" s="51" t="str">
        <f ca="1">IF(NOT(ISBLANK($B$30)),TRIM(MID(SUBSTITUTE('Analysis Sheet'!$B$30,", ",REPT(" ",LEN('Analysis Sheet'!$B$30))),((COLUMNS('Analysis Sheet'!$B$30:$B$30)-(OFFSET('Values Table'!AA2,0,0)))*LEN('Analysis Sheet'!$B$30))+1,LEN('Analysis Sheet'!$B$30))))</f>
        <v/>
      </c>
      <c r="P30" s="51" t="str">
        <f ca="1">IF(NOT(ISBLANK($B$30)),TRIM(MID(SUBSTITUTE('Analysis Sheet'!$B$30,", ",REPT(" ",LEN('Analysis Sheet'!$B$30))),((COLUMNS('Analysis Sheet'!$B$30:$B$30)-(OFFSET('Values Table'!AB2,0,0)))*LEN('Analysis Sheet'!$B$30))+1,LEN('Analysis Sheet'!$B$30))))</f>
        <v/>
      </c>
      <c r="Q30" s="51" t="str">
        <f ca="1">IF(NOT(ISBLANK($B$30)),TRIM(MID(SUBSTITUTE('Analysis Sheet'!$B$30,", ",REPT(" ",LEN('Analysis Sheet'!$B$30))),((COLUMNS('Analysis Sheet'!$B$30:$B$30)-(OFFSET('Values Table'!AC2,0,0)))*LEN('Analysis Sheet'!$B$30))+1,LEN('Analysis Sheet'!$B$30))))</f>
        <v/>
      </c>
      <c r="R30" s="51" t="str">
        <f ca="1">IF(NOT(ISBLANK($B$30)),TRIM(MID(SUBSTITUTE('Analysis Sheet'!$B$30,", ",REPT(" ",LEN('Analysis Sheet'!$B$30))),((COLUMNS('Analysis Sheet'!$B$30:$B$30)-(OFFSET('Values Table'!AD2,0,0)))*LEN('Analysis Sheet'!$B$30))+1,LEN('Analysis Sheet'!$B$30))))</f>
        <v/>
      </c>
      <c r="S30" s="51" t="str">
        <f ca="1">IF(NOT(ISBLANK($B$30)),TRIM(MID(SUBSTITUTE('Analysis Sheet'!$B$30,", ",REPT(" ",LEN('Analysis Sheet'!$B$30))),((COLUMNS('Analysis Sheet'!$B$30:$B$30)-(OFFSET('Values Table'!AE2,0,0)))*LEN('Analysis Sheet'!$B$30))+1,LEN('Analysis Sheet'!$B$30))))</f>
        <v/>
      </c>
      <c r="T30" s="51" t="str">
        <f ca="1">IF(NOT(ISBLANK($B$30)),TRIM(MID(SUBSTITUTE('Analysis Sheet'!$B$30,", ",REPT(" ",LEN('Analysis Sheet'!$B$30))),((COLUMNS('Analysis Sheet'!$B$30:$B$30)-(OFFSET('Values Table'!AF2,0,0)))*LEN('Analysis Sheet'!$B$30))+1,LEN('Analysis Sheet'!$B$30))))</f>
        <v/>
      </c>
      <c r="U30" s="51" t="str">
        <f ca="1">IF(NOT(ISBLANK($B$30)),TRIM(MID(SUBSTITUTE('Analysis Sheet'!$B$30,", ",REPT(" ",LEN('Analysis Sheet'!$B$30))),((COLUMNS('Analysis Sheet'!$B$30:$B$30)-(OFFSET('Values Table'!AG2,0,0)))*LEN('Analysis Sheet'!$B$30))+1,LEN('Analysis Sheet'!$B$30))))</f>
        <v/>
      </c>
      <c r="V30" s="51" t="str">
        <f ca="1">IF(NOT(ISBLANK($B$30)),TRIM(MID(SUBSTITUTE('Analysis Sheet'!$B$30,", ",REPT(" ",LEN('Analysis Sheet'!$B$30))),((COLUMNS('Analysis Sheet'!$B$30:$B$30)-(OFFSET('Values Table'!AH2,0,0)))*LEN('Analysis Sheet'!$B$30))+1,LEN('Analysis Sheet'!$B$30))))</f>
        <v/>
      </c>
      <c r="W30" s="42"/>
      <c r="X30" s="20" t="str">
        <f ca="1">UNIQUE($C$24:$V$43, 7)</f>
        <v/>
      </c>
      <c r="Y30" s="21" t="str">
        <f ca="1">IFERROR(VLOOKUP('Analysis Sheet'!X30,'Values Table'!$A$2:$B$42,2,FALSE), "0")</f>
        <v>0</v>
      </c>
    </row>
    <row r="31" spans="1:26" s="3" customFormat="1" x14ac:dyDescent="0.3">
      <c r="A31" s="3" t="str">
        <f>UStrip('User Ranking Form'!A31)</f>
        <v/>
      </c>
      <c r="B31" s="21" t="str">
        <f>IFERROR(MatchWords('Analysis Sheet'!A31, 'Values Table'!$A$2:$B$42)," ")</f>
        <v xml:space="preserve"> </v>
      </c>
      <c r="C31" s="51" t="str">
        <f ca="1">IF(NOT(ISBLANK($B$31)),TRIM(MID(SUBSTITUTE('Analysis Sheet'!$B$31,", ",REPT(" ",LEN('Analysis Sheet'!$B$31))),((COLUMNS('Analysis Sheet'!$B$31:$B$31)-(OFFSET('Values Table'!O2,0,0)))*LEN('Analysis Sheet'!$B$31))+1,LEN('Analysis Sheet'!$B$31))))</f>
        <v/>
      </c>
      <c r="D31" s="51" t="str">
        <f ca="1">IF(NOT(ISBLANK($B$31)),TRIM(MID(SUBSTITUTE('Analysis Sheet'!$B$31,", ",REPT(" ",LEN('Analysis Sheet'!$B$31))),((COLUMNS('Analysis Sheet'!$B$31:$B$31)-(OFFSET('Values Table'!P2,0,0)))*LEN('Analysis Sheet'!$B$31))+1,LEN('Analysis Sheet'!$B$31))))</f>
        <v/>
      </c>
      <c r="E31" s="51" t="str">
        <f ca="1">IF(NOT(ISBLANK($B$31)),TRIM(MID(SUBSTITUTE('Analysis Sheet'!$B$31,", ",REPT(" ",LEN('Analysis Sheet'!$B$31))),((COLUMNS('Analysis Sheet'!$B$31:$B$31)-(OFFSET('Values Table'!Q2,0,0)))*LEN('Analysis Sheet'!$B$31))+1,LEN('Analysis Sheet'!$B$31))))</f>
        <v/>
      </c>
      <c r="F31" s="51" t="str">
        <f ca="1">IF(NOT(ISBLANK($B$31)),TRIM(MID(SUBSTITUTE('Analysis Sheet'!$B$31,", ",REPT(" ",LEN('Analysis Sheet'!$B$31))),((COLUMNS('Analysis Sheet'!$B$31:$B$31)-(OFFSET('Values Table'!R2,0,0)))*LEN('Analysis Sheet'!$B$31))+1,LEN('Analysis Sheet'!$B$31))))</f>
        <v/>
      </c>
      <c r="G31" s="51" t="str">
        <f ca="1">IF(NOT(ISBLANK($B$31)),TRIM(MID(SUBSTITUTE('Analysis Sheet'!$B$31,", ",REPT(" ",LEN('Analysis Sheet'!$B$31))),((COLUMNS('Analysis Sheet'!$B$31:$B$31)-(OFFSET('Values Table'!S2,0,0)))*LEN('Analysis Sheet'!$B$31))+1,LEN('Analysis Sheet'!$B$31))))</f>
        <v/>
      </c>
      <c r="H31" s="51" t="str">
        <f ca="1">IF(NOT(ISBLANK($B$31)),TRIM(MID(SUBSTITUTE('Analysis Sheet'!$B$31,", ",REPT(" ",LEN('Analysis Sheet'!$B$31))),((COLUMNS('Analysis Sheet'!$B$31:$B$31)-(OFFSET('Values Table'!T2,0,0)))*LEN('Analysis Sheet'!$B$31))+1,LEN('Analysis Sheet'!$B$31))))</f>
        <v/>
      </c>
      <c r="I31" s="51" t="str">
        <f ca="1">IF(NOT(ISBLANK($B$31)),TRIM(MID(SUBSTITUTE('Analysis Sheet'!$B$31,", ",REPT(" ",LEN('Analysis Sheet'!$B$31))),((COLUMNS('Analysis Sheet'!$B$31:$B$31)-(OFFSET('Values Table'!U2,0,0)))*LEN('Analysis Sheet'!$B$31))+1,LEN('Analysis Sheet'!$B$31))))</f>
        <v/>
      </c>
      <c r="J31" s="51" t="str">
        <f ca="1">IF(NOT(ISBLANK($B$31)),TRIM(MID(SUBSTITUTE('Analysis Sheet'!$B$31,", ",REPT(" ",LEN('Analysis Sheet'!$B$31))),((COLUMNS('Analysis Sheet'!$B$31:$B$31)-(OFFSET('Values Table'!V2,0,0)))*LEN('Analysis Sheet'!$B$31))+1,LEN('Analysis Sheet'!$B$31))))</f>
        <v/>
      </c>
      <c r="K31" s="51" t="str">
        <f ca="1">IF(NOT(ISBLANK($B$31)),TRIM(MID(SUBSTITUTE('Analysis Sheet'!$B$31,", ",REPT(" ",LEN('Analysis Sheet'!$B$31))),((COLUMNS('Analysis Sheet'!$B$31:$B$31)-(OFFSET('Values Table'!W2,0,0)))*LEN('Analysis Sheet'!$B$31))+1,LEN('Analysis Sheet'!$B$31))))</f>
        <v/>
      </c>
      <c r="L31" s="51" t="str">
        <f ca="1">IF(NOT(ISBLANK($B$31)),TRIM(MID(SUBSTITUTE('Analysis Sheet'!$B$31,", ",REPT(" ",LEN('Analysis Sheet'!$B$31))),((COLUMNS('Analysis Sheet'!$B$31:$B$31)-(OFFSET('Values Table'!X2,0,0)))*LEN('Analysis Sheet'!$B$31))+1,LEN('Analysis Sheet'!$B$31))))</f>
        <v/>
      </c>
      <c r="M31" s="51" t="str">
        <f ca="1">IF(NOT(ISBLANK($B$31)),TRIM(MID(SUBSTITUTE('Analysis Sheet'!$B$31,", ",REPT(" ",LEN('Analysis Sheet'!$B$31))),((COLUMNS('Analysis Sheet'!$B$31:$B$31)-(OFFSET('Values Table'!Y2,0,0)))*LEN('Analysis Sheet'!$B$31))+1,LEN('Analysis Sheet'!$B$31))))</f>
        <v/>
      </c>
      <c r="N31" s="51" t="str">
        <f ca="1">IF(NOT(ISBLANK($B$31)),TRIM(MID(SUBSTITUTE('Analysis Sheet'!$B$31,", ",REPT(" ",LEN('Analysis Sheet'!$B$31))),((COLUMNS('Analysis Sheet'!$B$31:$B$31)-(OFFSET('Values Table'!Z2,0,0)))*LEN('Analysis Sheet'!$B$31))+1,LEN('Analysis Sheet'!$B$31))))</f>
        <v/>
      </c>
      <c r="O31" s="51" t="str">
        <f ca="1">IF(NOT(ISBLANK($B$31)),TRIM(MID(SUBSTITUTE('Analysis Sheet'!$B$31,", ",REPT(" ",LEN('Analysis Sheet'!$B$31))),((COLUMNS('Analysis Sheet'!$B$31:$B$31)-(OFFSET('Values Table'!AA2,0,0)))*LEN('Analysis Sheet'!$B$31))+1,LEN('Analysis Sheet'!$B$31))))</f>
        <v/>
      </c>
      <c r="P31" s="51" t="str">
        <f ca="1">IF(NOT(ISBLANK($B$31)),TRIM(MID(SUBSTITUTE('Analysis Sheet'!$B$31,", ",REPT(" ",LEN('Analysis Sheet'!$B$31))),((COLUMNS('Analysis Sheet'!$B$31:$B$31)-(OFFSET('Values Table'!AB2,0,0)))*LEN('Analysis Sheet'!$B$31))+1,LEN('Analysis Sheet'!$B$31))))</f>
        <v/>
      </c>
      <c r="Q31" s="51" t="str">
        <f ca="1">IF(NOT(ISBLANK($B$31)),TRIM(MID(SUBSTITUTE('Analysis Sheet'!$B$31,", ",REPT(" ",LEN('Analysis Sheet'!$B$31))),((COLUMNS('Analysis Sheet'!$B$31:$B$31)-(OFFSET('Values Table'!AC2,0,0)))*LEN('Analysis Sheet'!$B$31))+1,LEN('Analysis Sheet'!$B$31))))</f>
        <v/>
      </c>
      <c r="R31" s="51" t="str">
        <f ca="1">IF(NOT(ISBLANK($B$31)),TRIM(MID(SUBSTITUTE('Analysis Sheet'!$B$31,", ",REPT(" ",LEN('Analysis Sheet'!$B$31))),((COLUMNS('Analysis Sheet'!$B$31:$B$31)-(OFFSET('Values Table'!AD2,0,0)))*LEN('Analysis Sheet'!$B$31))+1,LEN('Analysis Sheet'!$B$31))))</f>
        <v/>
      </c>
      <c r="S31" s="51" t="str">
        <f ca="1">IF(NOT(ISBLANK($B$31)),TRIM(MID(SUBSTITUTE('Analysis Sheet'!$B$31,", ",REPT(" ",LEN('Analysis Sheet'!$B$31))),((COLUMNS('Analysis Sheet'!$B$31:$B$31)-(OFFSET('Values Table'!AE2,0,0)))*LEN('Analysis Sheet'!$B$31))+1,LEN('Analysis Sheet'!$B$31))))</f>
        <v/>
      </c>
      <c r="T31" s="51" t="str">
        <f ca="1">IF(NOT(ISBLANK($B$31)),TRIM(MID(SUBSTITUTE('Analysis Sheet'!$B$31,", ",REPT(" ",LEN('Analysis Sheet'!$B$31))),((COLUMNS('Analysis Sheet'!$B$31:$B$31)-(OFFSET('Values Table'!AF2,0,0)))*LEN('Analysis Sheet'!$B$31))+1,LEN('Analysis Sheet'!$B$31))))</f>
        <v/>
      </c>
      <c r="U31" s="51" t="str">
        <f ca="1">IF(NOT(ISBLANK($B$31)),TRIM(MID(SUBSTITUTE('Analysis Sheet'!$B$31,", ",REPT(" ",LEN('Analysis Sheet'!$B$31))),((COLUMNS('Analysis Sheet'!$B$31:$B$31)-(OFFSET('Values Table'!AG2,0,0)))*LEN('Analysis Sheet'!$B$31))+1,LEN('Analysis Sheet'!$B$31))))</f>
        <v/>
      </c>
      <c r="V31" s="51" t="str">
        <f ca="1">IF(NOT(ISBLANK($B$31)),TRIM(MID(SUBSTITUTE('Analysis Sheet'!$B$31,", ",REPT(" ",LEN('Analysis Sheet'!$B$31))),((COLUMNS('Analysis Sheet'!$B$31:$B$31)-(OFFSET('Values Table'!AH2,0,0)))*LEN('Analysis Sheet'!$B$31))+1,LEN('Analysis Sheet'!$B$31))))</f>
        <v/>
      </c>
      <c r="W31" s="42"/>
      <c r="X31" s="20" t="str">
        <f ca="1">UNIQUE($C$24:$V$43, 8)</f>
        <v/>
      </c>
      <c r="Y31" s="21" t="str">
        <f ca="1">IFERROR(VLOOKUP('Analysis Sheet'!X31,'Values Table'!$A$2:$B$42,2,FALSE), "0")</f>
        <v>0</v>
      </c>
    </row>
    <row r="32" spans="1:26" s="3" customFormat="1" x14ac:dyDescent="0.3">
      <c r="A32" s="3" t="str">
        <f>UStrip('User Ranking Form'!A32)</f>
        <v/>
      </c>
      <c r="B32" s="21" t="str">
        <f>IFERROR(MatchWords('Analysis Sheet'!A32, 'Values Table'!$A$2:$B$42)," ")</f>
        <v xml:space="preserve"> </v>
      </c>
      <c r="C32" s="49" t="str">
        <f ca="1">IF(NOT(ISBLANK($B$32)),TRIM(MID(SUBSTITUTE('Analysis Sheet'!$B$32,", ",REPT(" ",LEN('Analysis Sheet'!$B$32))),((COLUMNS('Analysis Sheet'!$B$32:$B$32)-(OFFSET('Values Table'!O2,0,0)))*LEN('Analysis Sheet'!$B$32))+1,LEN('Analysis Sheet'!$B$32))))</f>
        <v/>
      </c>
      <c r="D32" s="49" t="str">
        <f ca="1">IF(NOT(ISBLANK($B$32)),TRIM(MID(SUBSTITUTE('Analysis Sheet'!$B$32,", ",REPT(" ",LEN('Analysis Sheet'!$B$32))),((COLUMNS('Analysis Sheet'!$B$32:$B$32)-(OFFSET('Values Table'!P2,0,0)))*LEN('Analysis Sheet'!$B$32))+1,LEN('Analysis Sheet'!$B$32))))</f>
        <v/>
      </c>
      <c r="E32" s="49" t="str">
        <f ca="1">IF(NOT(ISBLANK($B$32)),TRIM(MID(SUBSTITUTE('Analysis Sheet'!$B$32,", ",REPT(" ",LEN('Analysis Sheet'!$B$32))),((COLUMNS('Analysis Sheet'!$B$32:$B$32)-(OFFSET('Values Table'!Q2,0,0)))*LEN('Analysis Sheet'!$B$32))+1,LEN('Analysis Sheet'!$B$32))))</f>
        <v/>
      </c>
      <c r="F32" s="49" t="str">
        <f ca="1">IF(NOT(ISBLANK($B$32)),TRIM(MID(SUBSTITUTE('Analysis Sheet'!$B$32,", ",REPT(" ",LEN('Analysis Sheet'!$B$32))),((COLUMNS('Analysis Sheet'!$B$32:$B$32)-(OFFSET('Values Table'!R2,0,0)))*LEN('Analysis Sheet'!$B$32))+1,LEN('Analysis Sheet'!$B$32))))</f>
        <v/>
      </c>
      <c r="G32" s="49" t="str">
        <f ca="1">IF(NOT(ISBLANK($B$32)),TRIM(MID(SUBSTITUTE('Analysis Sheet'!$B$32,", ",REPT(" ",LEN('Analysis Sheet'!$B$32))),((COLUMNS('Analysis Sheet'!$B$32:$B$32)-(OFFSET('Values Table'!S2,0,0)))*LEN('Analysis Sheet'!$B$32))+1,LEN('Analysis Sheet'!$B$32))))</f>
        <v/>
      </c>
      <c r="H32" s="49" t="str">
        <f ca="1">IF(NOT(ISBLANK($B$32)),TRIM(MID(SUBSTITUTE('Analysis Sheet'!$B$32,", ",REPT(" ",LEN('Analysis Sheet'!$B$32))),((COLUMNS('Analysis Sheet'!$B$32:$B$32)-(OFFSET('Values Table'!T2,0,0)))*LEN('Analysis Sheet'!$B$32))+1,LEN('Analysis Sheet'!$B$32))))</f>
        <v/>
      </c>
      <c r="I32" s="49" t="str">
        <f ca="1">IF(NOT(ISBLANK($B$32)),TRIM(MID(SUBSTITUTE('Analysis Sheet'!$B$32,", ",REPT(" ",LEN('Analysis Sheet'!$B$32))),((COLUMNS('Analysis Sheet'!$B$32:$B$32)-(OFFSET('Values Table'!U2,0,0)))*LEN('Analysis Sheet'!$B$32))+1,LEN('Analysis Sheet'!$B$32))))</f>
        <v/>
      </c>
      <c r="J32" s="49" t="str">
        <f ca="1">IF(NOT(ISBLANK($B$32)),TRIM(MID(SUBSTITUTE('Analysis Sheet'!$B$32,", ",REPT(" ",LEN('Analysis Sheet'!$B$32))),((COLUMNS('Analysis Sheet'!$B$32:$B$32)-(OFFSET('Values Table'!V2,0,0)))*LEN('Analysis Sheet'!$B$32))+1,LEN('Analysis Sheet'!$B$32))))</f>
        <v/>
      </c>
      <c r="K32" s="49" t="str">
        <f ca="1">IF(NOT(ISBLANK($B$32)),TRIM(MID(SUBSTITUTE('Analysis Sheet'!$B$32,", ",REPT(" ",LEN('Analysis Sheet'!$B$32))),((COLUMNS('Analysis Sheet'!$B$32:$B$32)-(OFFSET('Values Table'!W2,0,0)))*LEN('Analysis Sheet'!$B$32))+1,LEN('Analysis Sheet'!$B$32))))</f>
        <v/>
      </c>
      <c r="L32" s="49" t="str">
        <f ca="1">IF(NOT(ISBLANK($B$32)),TRIM(MID(SUBSTITUTE('Analysis Sheet'!$B$32,", ",REPT(" ",LEN('Analysis Sheet'!$B$32))),((COLUMNS('Analysis Sheet'!$B$32:$B$32)-(OFFSET('Values Table'!X2,0,0)))*LEN('Analysis Sheet'!$B$32))+1,LEN('Analysis Sheet'!$B$32))))</f>
        <v/>
      </c>
      <c r="M32" s="49" t="str">
        <f ca="1">IF(NOT(ISBLANK($B$32)),TRIM(MID(SUBSTITUTE('Analysis Sheet'!$B$32,", ",REPT(" ",LEN('Analysis Sheet'!$B$32))),((COLUMNS('Analysis Sheet'!$B$32:$B$32)-(OFFSET('Values Table'!Y2,0,0)))*LEN('Analysis Sheet'!$B$32))+1,LEN('Analysis Sheet'!$B$32))))</f>
        <v/>
      </c>
      <c r="N32" s="49" t="str">
        <f ca="1">IF(NOT(ISBLANK($B$32)),TRIM(MID(SUBSTITUTE('Analysis Sheet'!$B$32,", ",REPT(" ",LEN('Analysis Sheet'!$B$32))),((COLUMNS('Analysis Sheet'!$B$32:$B$32)-(OFFSET('Values Table'!Z2,0,0)))*LEN('Analysis Sheet'!$B$32))+1,LEN('Analysis Sheet'!$B$32))))</f>
        <v/>
      </c>
      <c r="O32" s="49" t="str">
        <f ca="1">IF(NOT(ISBLANK($B$32)),TRIM(MID(SUBSTITUTE('Analysis Sheet'!$B$32,", ",REPT(" ",LEN('Analysis Sheet'!$B$32))),((COLUMNS('Analysis Sheet'!$B$32:$B$32)-(OFFSET('Values Table'!AA2,0,0)))*LEN('Analysis Sheet'!$B$32))+1,LEN('Analysis Sheet'!$B$32))))</f>
        <v/>
      </c>
      <c r="P32" s="49" t="str">
        <f ca="1">IF(NOT(ISBLANK($B$32)),TRIM(MID(SUBSTITUTE('Analysis Sheet'!$B$32,", ",REPT(" ",LEN('Analysis Sheet'!$B$32))),((COLUMNS('Analysis Sheet'!$B$32:$B$32)-(OFFSET('Values Table'!AB2,0,0)))*LEN('Analysis Sheet'!$B$32))+1,LEN('Analysis Sheet'!$B$32))))</f>
        <v/>
      </c>
      <c r="Q32" s="49" t="str">
        <f ca="1">IF(NOT(ISBLANK($B$32)),TRIM(MID(SUBSTITUTE('Analysis Sheet'!$B$32,", ",REPT(" ",LEN('Analysis Sheet'!$B$32))),((COLUMNS('Analysis Sheet'!$B$32:$B$32)-(OFFSET('Values Table'!AC2,0,0)))*LEN('Analysis Sheet'!$B$32))+1,LEN('Analysis Sheet'!$B$32))))</f>
        <v/>
      </c>
      <c r="R32" s="49" t="str">
        <f ca="1">IF(NOT(ISBLANK($B$32)),TRIM(MID(SUBSTITUTE('Analysis Sheet'!$B$32,", ",REPT(" ",LEN('Analysis Sheet'!$B$32))),((COLUMNS('Analysis Sheet'!$B$32:$B$32)-(OFFSET('Values Table'!AD2,0,0)))*LEN('Analysis Sheet'!$B$32))+1,LEN('Analysis Sheet'!$B$32))))</f>
        <v/>
      </c>
      <c r="S32" s="49" t="str">
        <f ca="1">IF(NOT(ISBLANK($B$32)),TRIM(MID(SUBSTITUTE('Analysis Sheet'!$B$32,", ",REPT(" ",LEN('Analysis Sheet'!$B$32))),((COLUMNS('Analysis Sheet'!$B$32:$B$32)-(OFFSET('Values Table'!AE2,0,0)))*LEN('Analysis Sheet'!$B$32))+1,LEN('Analysis Sheet'!$B$32))))</f>
        <v/>
      </c>
      <c r="T32" s="49" t="str">
        <f ca="1">IF(NOT(ISBLANK($B$32)),TRIM(MID(SUBSTITUTE('Analysis Sheet'!$B$32,", ",REPT(" ",LEN('Analysis Sheet'!$B$32))),((COLUMNS('Analysis Sheet'!$B$32:$B$32)-(OFFSET('Values Table'!AF2,0,0)))*LEN('Analysis Sheet'!$B$32))+1,LEN('Analysis Sheet'!$B$32))))</f>
        <v/>
      </c>
      <c r="U32" s="49" t="str">
        <f ca="1">IF(NOT(ISBLANK($B$32)),TRIM(MID(SUBSTITUTE('Analysis Sheet'!$B$32,", ",REPT(" ",LEN('Analysis Sheet'!$B$32))),((COLUMNS('Analysis Sheet'!$B$32:$B$32)-(OFFSET('Values Table'!AG2,0,0)))*LEN('Analysis Sheet'!$B$32))+1,LEN('Analysis Sheet'!$B$32))))</f>
        <v/>
      </c>
      <c r="V32" s="49" t="str">
        <f ca="1">IF(NOT(ISBLANK($B$32)),TRIM(MID(SUBSTITUTE('Analysis Sheet'!$B$32,", ",REPT(" ",LEN('Analysis Sheet'!$B$32))),((COLUMNS('Analysis Sheet'!$B$32:$B$32)-(OFFSET('Values Table'!AH2,0,0)))*LEN('Analysis Sheet'!$B$32))+1,LEN('Analysis Sheet'!$B$32))))</f>
        <v/>
      </c>
      <c r="W32" s="42"/>
      <c r="X32" s="20" t="str">
        <f ca="1">UNIQUE($C$24:$V$43, 9)</f>
        <v/>
      </c>
      <c r="Y32" s="21" t="str">
        <f ca="1">IFERROR(VLOOKUP('Analysis Sheet'!X32,'Values Table'!$A$2:$B$42,2,FALSE), "0")</f>
        <v>0</v>
      </c>
    </row>
    <row r="33" spans="1:26" s="3" customFormat="1" x14ac:dyDescent="0.3">
      <c r="A33" s="3" t="str">
        <f>UStrip('User Ranking Form'!A33)</f>
        <v/>
      </c>
      <c r="B33" s="21" t="str">
        <f>IFERROR(MatchWords('Analysis Sheet'!A33, 'Values Table'!$A$2:$B$42)," ")</f>
        <v xml:space="preserve"> </v>
      </c>
      <c r="C33" s="49" t="str">
        <f ca="1">IF(NOT(ISBLANK($B$33)),TRIM(MID(SUBSTITUTE('Analysis Sheet'!$B$33,", ",REPT(" ",LEN('Analysis Sheet'!$B$33))),((COLUMNS('Analysis Sheet'!$B$33:$B$33)-(OFFSET('Values Table'!O2,0,0)))*LEN('Analysis Sheet'!$B$33))+1,LEN('Analysis Sheet'!$B$33))))</f>
        <v/>
      </c>
      <c r="D33" s="49" t="str">
        <f ca="1">IF(NOT(ISBLANK($B$33)),TRIM(MID(SUBSTITUTE('Analysis Sheet'!$B$33,", ",REPT(" ",LEN('Analysis Sheet'!$B$33))),((COLUMNS('Analysis Sheet'!$B$33:$B$33)-(OFFSET('Values Table'!P2,0,0)))*LEN('Analysis Sheet'!$B$33))+1,LEN('Analysis Sheet'!$B$33))))</f>
        <v/>
      </c>
      <c r="E33" s="49" t="str">
        <f ca="1">IF(NOT(ISBLANK($B$33)),TRIM(MID(SUBSTITUTE('Analysis Sheet'!$B$33,", ",REPT(" ",LEN('Analysis Sheet'!$B$33))),((COLUMNS('Analysis Sheet'!$B$33:$B$33)-(OFFSET('Values Table'!Q2,0,0)))*LEN('Analysis Sheet'!$B$33))+1,LEN('Analysis Sheet'!$B$33))))</f>
        <v/>
      </c>
      <c r="F33" s="49" t="str">
        <f ca="1">IF(NOT(ISBLANK($B$33)),TRIM(MID(SUBSTITUTE('Analysis Sheet'!$B$33,", ",REPT(" ",LEN('Analysis Sheet'!$B$33))),((COLUMNS('Analysis Sheet'!$B$33:$B$33)-(OFFSET('Values Table'!R2,0,0)))*LEN('Analysis Sheet'!$B$33))+1,LEN('Analysis Sheet'!$B$33))))</f>
        <v/>
      </c>
      <c r="G33" s="49" t="str">
        <f ca="1">IF(NOT(ISBLANK($B$33)),TRIM(MID(SUBSTITUTE('Analysis Sheet'!$B$33,", ",REPT(" ",LEN('Analysis Sheet'!$B$33))),((COLUMNS('Analysis Sheet'!$B$33:$B$33)-(OFFSET('Values Table'!S2,0,0)))*LEN('Analysis Sheet'!$B$33))+1,LEN('Analysis Sheet'!$B$33))))</f>
        <v/>
      </c>
      <c r="H33" s="49" t="str">
        <f ca="1">IF(NOT(ISBLANK($B$33)),TRIM(MID(SUBSTITUTE('Analysis Sheet'!$B$33,", ",REPT(" ",LEN('Analysis Sheet'!$B$33))),((COLUMNS('Analysis Sheet'!$B$33:$B$33)-(OFFSET('Values Table'!T2,0,0)))*LEN('Analysis Sheet'!$B$33))+1,LEN('Analysis Sheet'!$B$33))))</f>
        <v/>
      </c>
      <c r="I33" s="49" t="str">
        <f ca="1">IF(NOT(ISBLANK($B$33)),TRIM(MID(SUBSTITUTE('Analysis Sheet'!$B$33,", ",REPT(" ",LEN('Analysis Sheet'!$B$33))),((COLUMNS('Analysis Sheet'!$B$33:$B$33)-(OFFSET('Values Table'!U2,0,0)))*LEN('Analysis Sheet'!$B$33))+1,LEN('Analysis Sheet'!$B$33))))</f>
        <v/>
      </c>
      <c r="J33" s="49" t="str">
        <f ca="1">IF(NOT(ISBLANK($B$33)),TRIM(MID(SUBSTITUTE('Analysis Sheet'!$B$33,", ",REPT(" ",LEN('Analysis Sheet'!$B$33))),((COLUMNS('Analysis Sheet'!$B$33:$B$33)-(OFFSET('Values Table'!V2,0,0)))*LEN('Analysis Sheet'!$B$33))+1,LEN('Analysis Sheet'!$B$33))))</f>
        <v/>
      </c>
      <c r="K33" s="49" t="str">
        <f ca="1">IF(NOT(ISBLANK($B$33)),TRIM(MID(SUBSTITUTE('Analysis Sheet'!$B$33,", ",REPT(" ",LEN('Analysis Sheet'!$B$33))),((COLUMNS('Analysis Sheet'!$B$33:$B$33)-(OFFSET('Values Table'!W2,0,0)))*LEN('Analysis Sheet'!$B$33))+1,LEN('Analysis Sheet'!$B$33))))</f>
        <v/>
      </c>
      <c r="L33" s="49" t="str">
        <f ca="1">IF(NOT(ISBLANK($B$33)),TRIM(MID(SUBSTITUTE('Analysis Sheet'!$B$33,", ",REPT(" ",LEN('Analysis Sheet'!$B$33))),((COLUMNS('Analysis Sheet'!$B$33:$B$33)-(OFFSET('Values Table'!X2,0,0)))*LEN('Analysis Sheet'!$B$33))+1,LEN('Analysis Sheet'!$B$33))))</f>
        <v/>
      </c>
      <c r="M33" s="49" t="str">
        <f ca="1">IF(NOT(ISBLANK($B$33)),TRIM(MID(SUBSTITUTE('Analysis Sheet'!$B$33,", ",REPT(" ",LEN('Analysis Sheet'!$B$33))),((COLUMNS('Analysis Sheet'!$B$33:$B$33)-(OFFSET('Values Table'!Y2,0,0)))*LEN('Analysis Sheet'!$B$33))+1,LEN('Analysis Sheet'!$B$33))))</f>
        <v/>
      </c>
      <c r="N33" s="49" t="str">
        <f ca="1">IF(NOT(ISBLANK($B$33)),TRIM(MID(SUBSTITUTE('Analysis Sheet'!$B$33,", ",REPT(" ",LEN('Analysis Sheet'!$B$33))),((COLUMNS('Analysis Sheet'!$B$33:$B$33)-(OFFSET('Values Table'!Z2,0,0)))*LEN('Analysis Sheet'!$B$33))+1,LEN('Analysis Sheet'!$B$33))))</f>
        <v/>
      </c>
      <c r="O33" s="49" t="str">
        <f ca="1">IF(NOT(ISBLANK($B$33)),TRIM(MID(SUBSTITUTE('Analysis Sheet'!$B$33,", ",REPT(" ",LEN('Analysis Sheet'!$B$33))),((COLUMNS('Analysis Sheet'!$B$33:$B$33)-(OFFSET('Values Table'!AA2,0,0)))*LEN('Analysis Sheet'!$B$33))+1,LEN('Analysis Sheet'!$B$33))))</f>
        <v/>
      </c>
      <c r="P33" s="49" t="str">
        <f ca="1">IF(NOT(ISBLANK($B$33)),TRIM(MID(SUBSTITUTE('Analysis Sheet'!$B$33,", ",REPT(" ",LEN('Analysis Sheet'!$B$33))),((COLUMNS('Analysis Sheet'!$B$33:$B$33)-(OFFSET('Values Table'!AB2,0,0)))*LEN('Analysis Sheet'!$B$33))+1,LEN('Analysis Sheet'!$B$33))))</f>
        <v/>
      </c>
      <c r="Q33" s="49" t="str">
        <f ca="1">IF(NOT(ISBLANK($B$33)),TRIM(MID(SUBSTITUTE('Analysis Sheet'!$B$33,", ",REPT(" ",LEN('Analysis Sheet'!$B$33))),((COLUMNS('Analysis Sheet'!$B$33:$B$33)-(OFFSET('Values Table'!AC2,0,0)))*LEN('Analysis Sheet'!$B$33))+1,LEN('Analysis Sheet'!$B$33))))</f>
        <v/>
      </c>
      <c r="R33" s="49" t="str">
        <f ca="1">IF(NOT(ISBLANK($B$33)),TRIM(MID(SUBSTITUTE('Analysis Sheet'!$B$33,", ",REPT(" ",LEN('Analysis Sheet'!$B$33))),((COLUMNS('Analysis Sheet'!$B$33:$B$33)-(OFFSET('Values Table'!AD2,0,0)))*LEN('Analysis Sheet'!$B$33))+1,LEN('Analysis Sheet'!$B$33))))</f>
        <v/>
      </c>
      <c r="S33" s="49" t="str">
        <f ca="1">IF(NOT(ISBLANK($B$33)),TRIM(MID(SUBSTITUTE('Analysis Sheet'!$B$33,", ",REPT(" ",LEN('Analysis Sheet'!$B$33))),((COLUMNS('Analysis Sheet'!$B$33:$B$33)-(OFFSET('Values Table'!AE2,0,0)))*LEN('Analysis Sheet'!$B$33))+1,LEN('Analysis Sheet'!$B$33))))</f>
        <v/>
      </c>
      <c r="T33" s="49" t="str">
        <f ca="1">IF(NOT(ISBLANK($B$33)),TRIM(MID(SUBSTITUTE('Analysis Sheet'!$B$33,", ",REPT(" ",LEN('Analysis Sheet'!$B$33))),((COLUMNS('Analysis Sheet'!$B$33:$B$33)-(OFFSET('Values Table'!AF2,0,0)))*LEN('Analysis Sheet'!$B$33))+1,LEN('Analysis Sheet'!$B$33))))</f>
        <v/>
      </c>
      <c r="U33" s="49" t="str">
        <f ca="1">IF(NOT(ISBLANK($B$33)),TRIM(MID(SUBSTITUTE('Analysis Sheet'!$B$33,", ",REPT(" ",LEN('Analysis Sheet'!$B$33))),((COLUMNS('Analysis Sheet'!$B$33:$B$33)-(OFFSET('Values Table'!AG2,0,0)))*LEN('Analysis Sheet'!$B$33))+1,LEN('Analysis Sheet'!$B$33))))</f>
        <v/>
      </c>
      <c r="V33" s="49" t="str">
        <f ca="1">IF(NOT(ISBLANK($B$33)),TRIM(MID(SUBSTITUTE('Analysis Sheet'!$B$33,", ",REPT(" ",LEN('Analysis Sheet'!$B$33))),((COLUMNS('Analysis Sheet'!$B$33:$B$33)-(OFFSET('Values Table'!AH2,0,0)))*LEN('Analysis Sheet'!$B$33))+1,LEN('Analysis Sheet'!$B$33))))</f>
        <v/>
      </c>
      <c r="W33" s="42"/>
      <c r="X33" s="20" t="str">
        <f ca="1">UNIQUE($C$24:$V$43, 10)</f>
        <v/>
      </c>
      <c r="Y33" s="21" t="str">
        <f ca="1">IFERROR(VLOOKUP('Analysis Sheet'!X33,'Values Table'!$A$2:$B$42,2,FALSE), "0")</f>
        <v>0</v>
      </c>
    </row>
    <row r="34" spans="1:26" s="3" customFormat="1" x14ac:dyDescent="0.3">
      <c r="A34" s="3" t="str">
        <f>UStrip('User Ranking Form'!A34)</f>
        <v/>
      </c>
      <c r="B34" s="21" t="str">
        <f>IFERROR(MatchWords('Analysis Sheet'!A34, 'Values Table'!$A$2:$B$42)," ")</f>
        <v xml:space="preserve"> </v>
      </c>
      <c r="C34" s="49" t="str">
        <f ca="1">IF(NOT(ISBLANK($B$34)),TRIM(MID(SUBSTITUTE('Analysis Sheet'!$B$34,", ",REPT(" ",LEN('Analysis Sheet'!$B$34))),((COLUMNS('Analysis Sheet'!$B$34:$B$34)-(OFFSET('Values Table'!O2,0,0)))*LEN('Analysis Sheet'!$B$34))+1,LEN('Analysis Sheet'!$B$34))))</f>
        <v/>
      </c>
      <c r="D34" s="49" t="str">
        <f ca="1">IF(NOT(ISBLANK($B$34)),TRIM(MID(SUBSTITUTE('Analysis Sheet'!$B$34,", ",REPT(" ",LEN('Analysis Sheet'!$B$34))),((COLUMNS('Analysis Sheet'!$B$34:$B$34)-(OFFSET('Values Table'!P2,0,0)))*LEN('Analysis Sheet'!$B$34))+1,LEN('Analysis Sheet'!$B$34))))</f>
        <v/>
      </c>
      <c r="E34" s="49" t="str">
        <f ca="1">IF(NOT(ISBLANK($B$34)),TRIM(MID(SUBSTITUTE('Analysis Sheet'!$B$34,", ",REPT(" ",LEN('Analysis Sheet'!$B$34))),((COLUMNS('Analysis Sheet'!$B$34:$B$34)-(OFFSET('Values Table'!Q2,0,0)))*LEN('Analysis Sheet'!$B$34))+1,LEN('Analysis Sheet'!$B$34))))</f>
        <v/>
      </c>
      <c r="F34" s="49" t="str">
        <f ca="1">IF(NOT(ISBLANK($B$34)),TRIM(MID(SUBSTITUTE('Analysis Sheet'!$B$34,", ",REPT(" ",LEN('Analysis Sheet'!$B$34))),((COLUMNS('Analysis Sheet'!$B$34:$B$34)-(OFFSET('Values Table'!R2,0,0)))*LEN('Analysis Sheet'!$B$34))+1,LEN('Analysis Sheet'!$B$34))))</f>
        <v/>
      </c>
      <c r="G34" s="49" t="str">
        <f ca="1">IF(NOT(ISBLANK($B$34)),TRIM(MID(SUBSTITUTE('Analysis Sheet'!$B$34,", ",REPT(" ",LEN('Analysis Sheet'!$B$34))),((COLUMNS('Analysis Sheet'!$B$34:$B$34)-(OFFSET('Values Table'!S2,0,0)))*LEN('Analysis Sheet'!$B$34))+1,LEN('Analysis Sheet'!$B$34))))</f>
        <v/>
      </c>
      <c r="H34" s="49" t="str">
        <f ca="1">IF(NOT(ISBLANK($B$34)),TRIM(MID(SUBSTITUTE('Analysis Sheet'!$B$34,", ",REPT(" ",LEN('Analysis Sheet'!$B$34))),((COLUMNS('Analysis Sheet'!$B$34:$B$34)-(OFFSET('Values Table'!T2,0,0)))*LEN('Analysis Sheet'!$B$34))+1,LEN('Analysis Sheet'!$B$34))))</f>
        <v/>
      </c>
      <c r="I34" s="49" t="str">
        <f ca="1">IF(NOT(ISBLANK($B$34)),TRIM(MID(SUBSTITUTE('Analysis Sheet'!$B$34,", ",REPT(" ",LEN('Analysis Sheet'!$B$34))),((COLUMNS('Analysis Sheet'!$B$34:$B$34)-(OFFSET('Values Table'!U2,0,0)))*LEN('Analysis Sheet'!$B$34))+1,LEN('Analysis Sheet'!$B$34))))</f>
        <v/>
      </c>
      <c r="J34" s="49" t="str">
        <f ca="1">IF(NOT(ISBLANK($B$34)),TRIM(MID(SUBSTITUTE('Analysis Sheet'!$B$34,", ",REPT(" ",LEN('Analysis Sheet'!$B$34))),((COLUMNS('Analysis Sheet'!$B$34:$B$34)-(OFFSET('Values Table'!V2,0,0)))*LEN('Analysis Sheet'!$B$34))+1,LEN('Analysis Sheet'!$B$34))))</f>
        <v/>
      </c>
      <c r="K34" s="49" t="str">
        <f ca="1">IF(NOT(ISBLANK($B$34)),TRIM(MID(SUBSTITUTE('Analysis Sheet'!$B$34,", ",REPT(" ",LEN('Analysis Sheet'!$B$34))),((COLUMNS('Analysis Sheet'!$B$34:$B$34)-(OFFSET('Values Table'!W2,0,0)))*LEN('Analysis Sheet'!$B$34))+1,LEN('Analysis Sheet'!$B$34))))</f>
        <v/>
      </c>
      <c r="L34" s="49" t="str">
        <f ca="1">IF(NOT(ISBLANK($B$34)),TRIM(MID(SUBSTITUTE('Analysis Sheet'!$B$34,", ",REPT(" ",LEN('Analysis Sheet'!$B$34))),((COLUMNS('Analysis Sheet'!$B$34:$B$34)-(OFFSET('Values Table'!X2,0,0)))*LEN('Analysis Sheet'!$B$34))+1,LEN('Analysis Sheet'!$B$34))))</f>
        <v/>
      </c>
      <c r="M34" s="49" t="str">
        <f ca="1">IF(NOT(ISBLANK($B$34)),TRIM(MID(SUBSTITUTE('Analysis Sheet'!$B$34,", ",REPT(" ",LEN('Analysis Sheet'!$B$34))),((COLUMNS('Analysis Sheet'!$B$34:$B$34)-(OFFSET('Values Table'!Y2,0,0)))*LEN('Analysis Sheet'!$B$34))+1,LEN('Analysis Sheet'!$B$34))))</f>
        <v/>
      </c>
      <c r="N34" s="49" t="str">
        <f ca="1">IF(NOT(ISBLANK($B$34)),TRIM(MID(SUBSTITUTE('Analysis Sheet'!$B$34,", ",REPT(" ",LEN('Analysis Sheet'!$B$34))),((COLUMNS('Analysis Sheet'!$B$34:$B$34)-(OFFSET('Values Table'!Z2,0,0)))*LEN('Analysis Sheet'!$B$34))+1,LEN('Analysis Sheet'!$B$34))))</f>
        <v/>
      </c>
      <c r="O34" s="49" t="str">
        <f ca="1">IF(NOT(ISBLANK($B$34)),TRIM(MID(SUBSTITUTE('Analysis Sheet'!$B$34,", ",REPT(" ",LEN('Analysis Sheet'!$B$34))),((COLUMNS('Analysis Sheet'!$B$34:$B$34)-(OFFSET('Values Table'!AA2,0,0)))*LEN('Analysis Sheet'!$B$34))+1,LEN('Analysis Sheet'!$B$34))))</f>
        <v/>
      </c>
      <c r="P34" s="49" t="str">
        <f ca="1">IF(NOT(ISBLANK($B$34)),TRIM(MID(SUBSTITUTE('Analysis Sheet'!$B$34,", ",REPT(" ",LEN('Analysis Sheet'!$B$34))),((COLUMNS('Analysis Sheet'!$B$34:$B$34)-(OFFSET('Values Table'!AB2,0,0)))*LEN('Analysis Sheet'!$B$34))+1,LEN('Analysis Sheet'!$B$34))))</f>
        <v/>
      </c>
      <c r="Q34" s="49" t="str">
        <f ca="1">IF(NOT(ISBLANK($B$34)),TRIM(MID(SUBSTITUTE('Analysis Sheet'!$B$34,", ",REPT(" ",LEN('Analysis Sheet'!$B$34))),((COLUMNS('Analysis Sheet'!$B$34:$B$34)-(OFFSET('Values Table'!AC2,0,0)))*LEN('Analysis Sheet'!$B$34))+1,LEN('Analysis Sheet'!$B$34))))</f>
        <v/>
      </c>
      <c r="R34" s="49" t="str">
        <f ca="1">IF(NOT(ISBLANK($B$34)),TRIM(MID(SUBSTITUTE('Analysis Sheet'!$B$34,", ",REPT(" ",LEN('Analysis Sheet'!$B$34))),((COLUMNS('Analysis Sheet'!$B$34:$B$34)-(OFFSET('Values Table'!AD2,0,0)))*LEN('Analysis Sheet'!$B$34))+1,LEN('Analysis Sheet'!$B$34))))</f>
        <v/>
      </c>
      <c r="S34" s="49" t="str">
        <f ca="1">IF(NOT(ISBLANK($B$34)),TRIM(MID(SUBSTITUTE('Analysis Sheet'!$B$34,", ",REPT(" ",LEN('Analysis Sheet'!$B$34))),((COLUMNS('Analysis Sheet'!$B$34:$B$34)-(OFFSET('Values Table'!AE2,0,0)))*LEN('Analysis Sheet'!$B$34))+1,LEN('Analysis Sheet'!$B$34))))</f>
        <v/>
      </c>
      <c r="T34" s="49" t="str">
        <f ca="1">IF(NOT(ISBLANK($B$34)),TRIM(MID(SUBSTITUTE('Analysis Sheet'!$B$34,", ",REPT(" ",LEN('Analysis Sheet'!$B$34))),((COLUMNS('Analysis Sheet'!$B$34:$B$34)-(OFFSET('Values Table'!AF2,0,0)))*LEN('Analysis Sheet'!$B$34))+1,LEN('Analysis Sheet'!$B$34))))</f>
        <v/>
      </c>
      <c r="U34" s="49" t="str">
        <f ca="1">IF(NOT(ISBLANK($B$34)),TRIM(MID(SUBSTITUTE('Analysis Sheet'!$B$34,", ",REPT(" ",LEN('Analysis Sheet'!$B$34))),((COLUMNS('Analysis Sheet'!$B$34:$B$34)-(OFFSET('Values Table'!AG2,0,0)))*LEN('Analysis Sheet'!$B$34))+1,LEN('Analysis Sheet'!$B$34))))</f>
        <v/>
      </c>
      <c r="V34" s="49" t="str">
        <f ca="1">IF(NOT(ISBLANK($B$34)),TRIM(MID(SUBSTITUTE('Analysis Sheet'!$B$34,", ",REPT(" ",LEN('Analysis Sheet'!$B$34))),((COLUMNS('Analysis Sheet'!$B$34:$B$34)-(OFFSET('Values Table'!AH2,0,0)))*LEN('Analysis Sheet'!$B$34))+1,LEN('Analysis Sheet'!$B$34))))</f>
        <v/>
      </c>
      <c r="W34" s="42"/>
      <c r="X34" s="20" t="str">
        <f ca="1">UNIQUE($C$24:$V$43, 11)</f>
        <v/>
      </c>
      <c r="Y34" s="21" t="str">
        <f ca="1">IFERROR(VLOOKUP('Analysis Sheet'!X34,'Values Table'!$A$2:$B$42,2,FALSE), "0")</f>
        <v>0</v>
      </c>
    </row>
    <row r="35" spans="1:26" s="3" customFormat="1" x14ac:dyDescent="0.3">
      <c r="A35" s="3" t="str">
        <f>UStrip('User Ranking Form'!A35)</f>
        <v/>
      </c>
      <c r="B35" s="21" t="str">
        <f>IFERROR(MatchWords('Analysis Sheet'!A35, 'Values Table'!$A$2:$B$42)," ")</f>
        <v xml:space="preserve"> </v>
      </c>
      <c r="C35" s="49" t="str">
        <f ca="1">IF(NOT(ISBLANK($B$35)),TRIM(MID(SUBSTITUTE('Analysis Sheet'!$B$35,", ",REPT(" ",LEN('Analysis Sheet'!$B$35))),((COLUMNS('Analysis Sheet'!$B$35:$B$35)-(OFFSET('Values Table'!O2,0,0)))*LEN('Analysis Sheet'!$B$35))+1,LEN('Analysis Sheet'!$B$35))))</f>
        <v/>
      </c>
      <c r="D35" s="49" t="str">
        <f ca="1">IF(NOT(ISBLANK($B$35)),TRIM(MID(SUBSTITUTE('Analysis Sheet'!$B$35,", ",REPT(" ",LEN('Analysis Sheet'!$B$35))),((COLUMNS('Analysis Sheet'!$B$35:$B$35)-(OFFSET('Values Table'!P2,0,0)))*LEN('Analysis Sheet'!$B$35))+1,LEN('Analysis Sheet'!$B$35))))</f>
        <v/>
      </c>
      <c r="E35" s="49" t="str">
        <f ca="1">IF(NOT(ISBLANK($B$35)),TRIM(MID(SUBSTITUTE('Analysis Sheet'!$B$35,", ",REPT(" ",LEN('Analysis Sheet'!$B$35))),((COLUMNS('Analysis Sheet'!$B$35:$B$35)-(OFFSET('Values Table'!Q2,0,0)))*LEN('Analysis Sheet'!$B$35))+1,LEN('Analysis Sheet'!$B$35))))</f>
        <v/>
      </c>
      <c r="F35" s="49" t="str">
        <f ca="1">IF(NOT(ISBLANK($B$35)),TRIM(MID(SUBSTITUTE('Analysis Sheet'!$B$35,", ",REPT(" ",LEN('Analysis Sheet'!$B$35))),((COLUMNS('Analysis Sheet'!$B$35:$B$35)-(OFFSET('Values Table'!R2,0,0)))*LEN('Analysis Sheet'!$B$35))+1,LEN('Analysis Sheet'!$B$35))))</f>
        <v/>
      </c>
      <c r="G35" s="49" t="str">
        <f ca="1">IF(NOT(ISBLANK($B$35)),TRIM(MID(SUBSTITUTE('Analysis Sheet'!$B$35,", ",REPT(" ",LEN('Analysis Sheet'!$B$35))),((COLUMNS('Analysis Sheet'!$B$35:$B$35)-(OFFSET('Values Table'!S2,0,0)))*LEN('Analysis Sheet'!$B$35))+1,LEN('Analysis Sheet'!$B$35))))</f>
        <v/>
      </c>
      <c r="H35" s="49" t="str">
        <f ca="1">IF(NOT(ISBLANK($B$35)),TRIM(MID(SUBSTITUTE('Analysis Sheet'!$B$35,", ",REPT(" ",LEN('Analysis Sheet'!$B$35))),((COLUMNS('Analysis Sheet'!$B$35:$B$35)-(OFFSET('Values Table'!T2,0,0)))*LEN('Analysis Sheet'!$B$35))+1,LEN('Analysis Sheet'!$B$35))))</f>
        <v/>
      </c>
      <c r="I35" s="49" t="str">
        <f ca="1">IF(NOT(ISBLANK($B$35)),TRIM(MID(SUBSTITUTE('Analysis Sheet'!$B$35,", ",REPT(" ",LEN('Analysis Sheet'!$B$35))),((COLUMNS('Analysis Sheet'!$B$35:$B$35)-(OFFSET('Values Table'!U2,0,0)))*LEN('Analysis Sheet'!$B$35))+1,LEN('Analysis Sheet'!$B$35))))</f>
        <v/>
      </c>
      <c r="J35" s="49" t="str">
        <f ca="1">IF(NOT(ISBLANK($B$35)),TRIM(MID(SUBSTITUTE('Analysis Sheet'!$B$35,", ",REPT(" ",LEN('Analysis Sheet'!$B$35))),((COLUMNS('Analysis Sheet'!$B$35:$B$35)-(OFFSET('Values Table'!V2,0,0)))*LEN('Analysis Sheet'!$B$35))+1,LEN('Analysis Sheet'!$B$35))))</f>
        <v/>
      </c>
      <c r="K35" s="49" t="str">
        <f ca="1">IF(NOT(ISBLANK($B$35)),TRIM(MID(SUBSTITUTE('Analysis Sheet'!$B$35,", ",REPT(" ",LEN('Analysis Sheet'!$B$35))),((COLUMNS('Analysis Sheet'!$B$35:$B$35)-(OFFSET('Values Table'!W2,0,0)))*LEN('Analysis Sheet'!$B$35))+1,LEN('Analysis Sheet'!$B$35))))</f>
        <v/>
      </c>
      <c r="L35" s="49" t="str">
        <f ca="1">IF(NOT(ISBLANK($B$35)),TRIM(MID(SUBSTITUTE('Analysis Sheet'!$B$35,", ",REPT(" ",LEN('Analysis Sheet'!$B$35))),((COLUMNS('Analysis Sheet'!$B$35:$B$35)-(OFFSET('Values Table'!X2,0,0)))*LEN('Analysis Sheet'!$B$35))+1,LEN('Analysis Sheet'!$B$35))))</f>
        <v/>
      </c>
      <c r="M35" s="49" t="str">
        <f ca="1">IF(NOT(ISBLANK($B$35)),TRIM(MID(SUBSTITUTE('Analysis Sheet'!$B$35,", ",REPT(" ",LEN('Analysis Sheet'!$B$35))),((COLUMNS('Analysis Sheet'!$B$35:$B$35)-(OFFSET('Values Table'!Y2,0,0)))*LEN('Analysis Sheet'!$B$35))+1,LEN('Analysis Sheet'!$B$35))))</f>
        <v/>
      </c>
      <c r="N35" s="49" t="str">
        <f ca="1">IF(NOT(ISBLANK($B$35)),TRIM(MID(SUBSTITUTE('Analysis Sheet'!$B$35,", ",REPT(" ",LEN('Analysis Sheet'!$B$35))),((COLUMNS('Analysis Sheet'!$B$35:$B$35)-(OFFSET('Values Table'!Z2,0,0)))*LEN('Analysis Sheet'!$B$35))+1,LEN('Analysis Sheet'!$B$35))))</f>
        <v/>
      </c>
      <c r="O35" s="49" t="str">
        <f ca="1">IF(NOT(ISBLANK($B$35)),TRIM(MID(SUBSTITUTE('Analysis Sheet'!$B$35,", ",REPT(" ",LEN('Analysis Sheet'!$B$35))),((COLUMNS('Analysis Sheet'!$B$35:$B$35)-(OFFSET('Values Table'!AA2,0,0)))*LEN('Analysis Sheet'!$B$35))+1,LEN('Analysis Sheet'!$B$35))))</f>
        <v/>
      </c>
      <c r="P35" s="49" t="str">
        <f ca="1">IF(NOT(ISBLANK($B$35)),TRIM(MID(SUBSTITUTE('Analysis Sheet'!$B$35,", ",REPT(" ",LEN('Analysis Sheet'!$B$35))),((COLUMNS('Analysis Sheet'!$B$35:$B$35)-(OFFSET('Values Table'!AB2,0,0)))*LEN('Analysis Sheet'!$B$35))+1,LEN('Analysis Sheet'!$B$35))))</f>
        <v/>
      </c>
      <c r="Q35" s="49" t="str">
        <f ca="1">IF(NOT(ISBLANK($B$35)),TRIM(MID(SUBSTITUTE('Analysis Sheet'!$B$35,", ",REPT(" ",LEN('Analysis Sheet'!$B$35))),((COLUMNS('Analysis Sheet'!$B$35:$B$35)-(OFFSET('Values Table'!AC2,0,0)))*LEN('Analysis Sheet'!$B$35))+1,LEN('Analysis Sheet'!$B$35))))</f>
        <v/>
      </c>
      <c r="R35" s="49" t="str">
        <f ca="1">IF(NOT(ISBLANK($B$35)),TRIM(MID(SUBSTITUTE('Analysis Sheet'!$B$35,", ",REPT(" ",LEN('Analysis Sheet'!$B$35))),((COLUMNS('Analysis Sheet'!$B$35:$B$35)-(OFFSET('Values Table'!AD2,0,0)))*LEN('Analysis Sheet'!$B$35))+1,LEN('Analysis Sheet'!$B$35))))</f>
        <v/>
      </c>
      <c r="S35" s="49" t="str">
        <f ca="1">IF(NOT(ISBLANK($B$35)),TRIM(MID(SUBSTITUTE('Analysis Sheet'!$B$35,", ",REPT(" ",LEN('Analysis Sheet'!$B$35))),((COLUMNS('Analysis Sheet'!$B$35:$B$35)-(OFFSET('Values Table'!AE2,0,0)))*LEN('Analysis Sheet'!$B$35))+1,LEN('Analysis Sheet'!$B$35))))</f>
        <v/>
      </c>
      <c r="T35" s="49" t="str">
        <f ca="1">IF(NOT(ISBLANK($B$35)),TRIM(MID(SUBSTITUTE('Analysis Sheet'!$B$35,", ",REPT(" ",LEN('Analysis Sheet'!$B$35))),((COLUMNS('Analysis Sheet'!$B$35:$B$35)-(OFFSET('Values Table'!AF2,0,0)))*LEN('Analysis Sheet'!$B$35))+1,LEN('Analysis Sheet'!$B$35))))</f>
        <v/>
      </c>
      <c r="U35" s="49" t="str">
        <f ca="1">IF(NOT(ISBLANK($B$35)),TRIM(MID(SUBSTITUTE('Analysis Sheet'!$B$35,", ",REPT(" ",LEN('Analysis Sheet'!$B$35))),((COLUMNS('Analysis Sheet'!$B$35:$B$35)-(OFFSET('Values Table'!AG2,0,0)))*LEN('Analysis Sheet'!$B$35))+1,LEN('Analysis Sheet'!$B$35))))</f>
        <v/>
      </c>
      <c r="V35" s="49" t="str">
        <f ca="1">IF(NOT(ISBLANK($B$35)),TRIM(MID(SUBSTITUTE('Analysis Sheet'!$B$35,", ",REPT(" ",LEN('Analysis Sheet'!$B$35))),((COLUMNS('Analysis Sheet'!$B$35:$B$35)-(OFFSET('Values Table'!AH2,0,0)))*LEN('Analysis Sheet'!$B$35))+1,LEN('Analysis Sheet'!$B$35))))</f>
        <v/>
      </c>
      <c r="W35" s="42"/>
      <c r="X35" s="20" t="str">
        <f ca="1">UNIQUE($C$24:$V$43, 12)</f>
        <v/>
      </c>
      <c r="Y35" s="21" t="str">
        <f ca="1">IFERROR(VLOOKUP('Analysis Sheet'!X35,'Values Table'!$A$2:$B$42,2,FALSE), "0")</f>
        <v>0</v>
      </c>
    </row>
    <row r="36" spans="1:26" s="3" customFormat="1" x14ac:dyDescent="0.3">
      <c r="A36" s="3" t="str">
        <f>UStrip('User Ranking Form'!A36)</f>
        <v/>
      </c>
      <c r="B36" s="21" t="str">
        <f>IFERROR(MatchWords('Analysis Sheet'!A36, 'Values Table'!$A$2:$B$42)," ")</f>
        <v xml:space="preserve"> </v>
      </c>
      <c r="C36" s="49" t="str">
        <f ca="1">IF(NOT(ISBLANK($B$36)),TRIM(MID(SUBSTITUTE('Analysis Sheet'!$B$36,", ",REPT(" ",LEN('Analysis Sheet'!$B$36))),((COLUMNS('Analysis Sheet'!$B$36:$B$36)-(OFFSET('Values Table'!O2,0,0)))*LEN('Analysis Sheet'!$B$36))+1,LEN('Analysis Sheet'!$B$36))))</f>
        <v/>
      </c>
      <c r="D36" s="49" t="str">
        <f ca="1">IF(NOT(ISBLANK($B$36)),TRIM(MID(SUBSTITUTE('Analysis Sheet'!$B$36,", ",REPT(" ",LEN('Analysis Sheet'!$B$36))),((COLUMNS('Analysis Sheet'!$B$36:$B$36)-(OFFSET('Values Table'!P2,0,0)))*LEN('Analysis Sheet'!$B$36))+1,LEN('Analysis Sheet'!$B$36))))</f>
        <v/>
      </c>
      <c r="E36" s="49" t="str">
        <f ca="1">IF(NOT(ISBLANK($B$36)),TRIM(MID(SUBSTITUTE('Analysis Sheet'!$B$36,", ",REPT(" ",LEN('Analysis Sheet'!$B$36))),((COLUMNS('Analysis Sheet'!$B$36:$B$36)-(OFFSET('Values Table'!Q2,0,0)))*LEN('Analysis Sheet'!$B$36))+1,LEN('Analysis Sheet'!$B$36))))</f>
        <v/>
      </c>
      <c r="F36" s="49" t="str">
        <f ca="1">IF(NOT(ISBLANK($B$36)),TRIM(MID(SUBSTITUTE('Analysis Sheet'!$B$36,", ",REPT(" ",LEN('Analysis Sheet'!$B$36))),((COLUMNS('Analysis Sheet'!$B$36:$B$36)-(OFFSET('Values Table'!R2,0,0)))*LEN('Analysis Sheet'!$B$36))+1,LEN('Analysis Sheet'!$B$36))))</f>
        <v/>
      </c>
      <c r="G36" s="49" t="str">
        <f ca="1">IF(NOT(ISBLANK($B$36)),TRIM(MID(SUBSTITUTE('Analysis Sheet'!$B$36,", ",REPT(" ",LEN('Analysis Sheet'!$B$36))),((COLUMNS('Analysis Sheet'!$B$36:$B$36)-(OFFSET('Values Table'!S2,0,0)))*LEN('Analysis Sheet'!$B$36))+1,LEN('Analysis Sheet'!$B$36))))</f>
        <v/>
      </c>
      <c r="H36" s="49" t="str">
        <f ca="1">IF(NOT(ISBLANK($B$36)),TRIM(MID(SUBSTITUTE('Analysis Sheet'!$B$36,", ",REPT(" ",LEN('Analysis Sheet'!$B$36))),((COLUMNS('Analysis Sheet'!$B$36:$B$36)-(OFFSET('Values Table'!T2,0,0)))*LEN('Analysis Sheet'!$B$36))+1,LEN('Analysis Sheet'!$B$36))))</f>
        <v/>
      </c>
      <c r="I36" s="49" t="str">
        <f ca="1">IF(NOT(ISBLANK($B$36)),TRIM(MID(SUBSTITUTE('Analysis Sheet'!$B$36,", ",REPT(" ",LEN('Analysis Sheet'!$B$36))),((COLUMNS('Analysis Sheet'!$B$36:$B$36)-(OFFSET('Values Table'!U2,0,0)))*LEN('Analysis Sheet'!$B$36))+1,LEN('Analysis Sheet'!$B$36))))</f>
        <v/>
      </c>
      <c r="J36" s="49" t="str">
        <f ca="1">IF(NOT(ISBLANK($B$36)),TRIM(MID(SUBSTITUTE('Analysis Sheet'!$B$36,", ",REPT(" ",LEN('Analysis Sheet'!$B$36))),((COLUMNS('Analysis Sheet'!$B$36:$B$36)-(OFFSET('Values Table'!V2,0,0)))*LEN('Analysis Sheet'!$B$36))+1,LEN('Analysis Sheet'!$B$36))))</f>
        <v/>
      </c>
      <c r="K36" s="49" t="str">
        <f ca="1">IF(NOT(ISBLANK($B$36)),TRIM(MID(SUBSTITUTE('Analysis Sheet'!$B$36,", ",REPT(" ",LEN('Analysis Sheet'!$B$36))),((COLUMNS('Analysis Sheet'!$B$36:$B$36)-(OFFSET('Values Table'!W2,0,0)))*LEN('Analysis Sheet'!$B$36))+1,LEN('Analysis Sheet'!$B$36))))</f>
        <v/>
      </c>
      <c r="L36" s="49" t="str">
        <f ca="1">IF(NOT(ISBLANK($B$36)),TRIM(MID(SUBSTITUTE('Analysis Sheet'!$B$36,", ",REPT(" ",LEN('Analysis Sheet'!$B$36))),((COLUMNS('Analysis Sheet'!$B$36:$B$36)-(OFFSET('Values Table'!X2,0,0)))*LEN('Analysis Sheet'!$B$36))+1,LEN('Analysis Sheet'!$B$36))))</f>
        <v/>
      </c>
      <c r="M36" s="49" t="str">
        <f ca="1">IF(NOT(ISBLANK($B$36)),TRIM(MID(SUBSTITUTE('Analysis Sheet'!$B$36,", ",REPT(" ",LEN('Analysis Sheet'!$B$36))),((COLUMNS('Analysis Sheet'!$B$36:$B$36)-(OFFSET('Values Table'!Y2,0,0)))*LEN('Analysis Sheet'!$B$36))+1,LEN('Analysis Sheet'!$B$36))))</f>
        <v/>
      </c>
      <c r="N36" s="49" t="str">
        <f ca="1">IF(NOT(ISBLANK($B$36)),TRIM(MID(SUBSTITUTE('Analysis Sheet'!$B$36,", ",REPT(" ",LEN('Analysis Sheet'!$B$36))),((COLUMNS('Analysis Sheet'!$B$36:$B$36)-(OFFSET('Values Table'!Z2,0,0)))*LEN('Analysis Sheet'!$B$36))+1,LEN('Analysis Sheet'!$B$36))))</f>
        <v/>
      </c>
      <c r="O36" s="49" t="str">
        <f ca="1">IF(NOT(ISBLANK($B$36)),TRIM(MID(SUBSTITUTE('Analysis Sheet'!$B$36,", ",REPT(" ",LEN('Analysis Sheet'!$B$36))),((COLUMNS('Analysis Sheet'!$B$36:$B$36)-(OFFSET('Values Table'!AA2,0,0)))*LEN('Analysis Sheet'!$B$36))+1,LEN('Analysis Sheet'!$B$36))))</f>
        <v/>
      </c>
      <c r="P36" s="49" t="str">
        <f ca="1">IF(NOT(ISBLANK($B$36)),TRIM(MID(SUBSTITUTE('Analysis Sheet'!$B$36,", ",REPT(" ",LEN('Analysis Sheet'!$B$36))),((COLUMNS('Analysis Sheet'!$B$36:$B$36)-(OFFSET('Values Table'!AB2,0,0)))*LEN('Analysis Sheet'!$B$36))+1,LEN('Analysis Sheet'!$B$36))))</f>
        <v/>
      </c>
      <c r="Q36" s="49" t="str">
        <f ca="1">IF(NOT(ISBLANK($B$36)),TRIM(MID(SUBSTITUTE('Analysis Sheet'!$B$36,", ",REPT(" ",LEN('Analysis Sheet'!$B$36))),((COLUMNS('Analysis Sheet'!$B$36:$B$36)-(OFFSET('Values Table'!AC2,0,0)))*LEN('Analysis Sheet'!$B$36))+1,LEN('Analysis Sheet'!$B$36))))</f>
        <v/>
      </c>
      <c r="R36" s="49" t="str">
        <f ca="1">IF(NOT(ISBLANK($B$36)),TRIM(MID(SUBSTITUTE('Analysis Sheet'!$B$36,", ",REPT(" ",LEN('Analysis Sheet'!$B$36))),((COLUMNS('Analysis Sheet'!$B$36:$B$36)-(OFFSET('Values Table'!AD2,0,0)))*LEN('Analysis Sheet'!$B$36))+1,LEN('Analysis Sheet'!$B$36))))</f>
        <v/>
      </c>
      <c r="S36" s="49" t="str">
        <f ca="1">IF(NOT(ISBLANK($B$36)),TRIM(MID(SUBSTITUTE('Analysis Sheet'!$B$36,", ",REPT(" ",LEN('Analysis Sheet'!$B$36))),((COLUMNS('Analysis Sheet'!$B$36:$B$36)-(OFFSET('Values Table'!AE2,0,0)))*LEN('Analysis Sheet'!$B$36))+1,LEN('Analysis Sheet'!$B$36))))</f>
        <v/>
      </c>
      <c r="T36" s="49" t="str">
        <f ca="1">IF(NOT(ISBLANK($B$36)),TRIM(MID(SUBSTITUTE('Analysis Sheet'!$B$36,", ",REPT(" ",LEN('Analysis Sheet'!$B$36))),((COLUMNS('Analysis Sheet'!$B$36:$B$36)-(OFFSET('Values Table'!AF2,0,0)))*LEN('Analysis Sheet'!$B$36))+1,LEN('Analysis Sheet'!$B$36))))</f>
        <v/>
      </c>
      <c r="U36" s="49" t="str">
        <f ca="1">IF(NOT(ISBLANK($B$36)),TRIM(MID(SUBSTITUTE('Analysis Sheet'!$B$36,", ",REPT(" ",LEN('Analysis Sheet'!$B$36))),((COLUMNS('Analysis Sheet'!$B$36:$B$36)-(OFFSET('Values Table'!AG2,0,0)))*LEN('Analysis Sheet'!$B$36))+1,LEN('Analysis Sheet'!$B$36))))</f>
        <v/>
      </c>
      <c r="V36" s="49" t="str">
        <f ca="1">IF(NOT(ISBLANK($B$36)),TRIM(MID(SUBSTITUTE('Analysis Sheet'!$B$36,", ",REPT(" ",LEN('Analysis Sheet'!$B$36))),((COLUMNS('Analysis Sheet'!$B$36:$B$36)-(OFFSET('Values Table'!AH2,0,0)))*LEN('Analysis Sheet'!$B$36))+1,LEN('Analysis Sheet'!$B$36))))</f>
        <v/>
      </c>
      <c r="W36" s="42"/>
      <c r="X36" s="20" t="str">
        <f ca="1">UNIQUE($C$24:$V$43, 13)</f>
        <v/>
      </c>
      <c r="Y36" s="21" t="str">
        <f ca="1">IFERROR(VLOOKUP('Analysis Sheet'!X36,'Values Table'!$A$2:$B$42,2,FALSE), "0")</f>
        <v>0</v>
      </c>
    </row>
    <row r="37" spans="1:26" s="3" customFormat="1" x14ac:dyDescent="0.3">
      <c r="A37" s="3" t="str">
        <f>UStrip('User Ranking Form'!A37)</f>
        <v/>
      </c>
      <c r="B37" s="21" t="str">
        <f>IFERROR(MatchWords('Analysis Sheet'!A37, 'Values Table'!$A$2:$B$42)," ")</f>
        <v xml:space="preserve"> </v>
      </c>
      <c r="C37" s="49" t="str">
        <f ca="1">IF(NOT(ISBLANK($B$37)),TRIM(MID(SUBSTITUTE('Analysis Sheet'!$B$37,", ",REPT(" ",LEN('Analysis Sheet'!$B$37))),((COLUMNS('Analysis Sheet'!$B$37:$B$37)-(OFFSET('Values Table'!O2,0,0)))*LEN('Analysis Sheet'!$B$37))+1,LEN('Analysis Sheet'!$B$37))))</f>
        <v/>
      </c>
      <c r="D37" s="49" t="str">
        <f ca="1">IF(NOT(ISBLANK($B$37)),TRIM(MID(SUBSTITUTE('Analysis Sheet'!$B$37,", ",REPT(" ",LEN('Analysis Sheet'!$B$37))),((COLUMNS('Analysis Sheet'!$B$37:$B$37)-(OFFSET('Values Table'!P2,0,0)))*LEN('Analysis Sheet'!$B$37))+1,LEN('Analysis Sheet'!$B$37))))</f>
        <v/>
      </c>
      <c r="E37" s="49" t="str">
        <f ca="1">IF(NOT(ISBLANK($B$37)),TRIM(MID(SUBSTITUTE('Analysis Sheet'!$B$37,", ",REPT(" ",LEN('Analysis Sheet'!$B$37))),((COLUMNS('Analysis Sheet'!$B$37:$B$37)-(OFFSET('Values Table'!Q2,0,0)))*LEN('Analysis Sheet'!$B$37))+1,LEN('Analysis Sheet'!$B$37))))</f>
        <v/>
      </c>
      <c r="F37" s="49" t="str">
        <f ca="1">IF(NOT(ISBLANK($B$37)),TRIM(MID(SUBSTITUTE('Analysis Sheet'!$B$37,", ",REPT(" ",LEN('Analysis Sheet'!$B$37))),((COLUMNS('Analysis Sheet'!$B$37:$B$37)-(OFFSET('Values Table'!R2,0,0)))*LEN('Analysis Sheet'!$B$37))+1,LEN('Analysis Sheet'!$B$37))))</f>
        <v/>
      </c>
      <c r="G37" s="49" t="str">
        <f ca="1">IF(NOT(ISBLANK($B$37)),TRIM(MID(SUBSTITUTE('Analysis Sheet'!$B$37,", ",REPT(" ",LEN('Analysis Sheet'!$B$37))),((COLUMNS('Analysis Sheet'!$B$37:$B$37)-(OFFSET('Values Table'!S2,0,0)))*LEN('Analysis Sheet'!$B$37))+1,LEN('Analysis Sheet'!$B$37))))</f>
        <v/>
      </c>
      <c r="H37" s="49" t="str">
        <f ca="1">IF(NOT(ISBLANK($B$37)),TRIM(MID(SUBSTITUTE('Analysis Sheet'!$B$37,", ",REPT(" ",LEN('Analysis Sheet'!$B$37))),((COLUMNS('Analysis Sheet'!$B$37:$B$37)-(OFFSET('Values Table'!T2,0,0)))*LEN('Analysis Sheet'!$B$37))+1,LEN('Analysis Sheet'!$B$37))))</f>
        <v/>
      </c>
      <c r="I37" s="49" t="str">
        <f ca="1">IF(NOT(ISBLANK($B$37)),TRIM(MID(SUBSTITUTE('Analysis Sheet'!$B$37,", ",REPT(" ",LEN('Analysis Sheet'!$B$37))),((COLUMNS('Analysis Sheet'!$B$37:$B$37)-(OFFSET('Values Table'!U2,0,0)))*LEN('Analysis Sheet'!$B$37))+1,LEN('Analysis Sheet'!$B$37))))</f>
        <v/>
      </c>
      <c r="J37" s="49" t="str">
        <f ca="1">IF(NOT(ISBLANK($B$37)),TRIM(MID(SUBSTITUTE('Analysis Sheet'!$B$37,", ",REPT(" ",LEN('Analysis Sheet'!$B$37))),((COLUMNS('Analysis Sheet'!$B$37:$B$37)-(OFFSET('Values Table'!V2,0,0)))*LEN('Analysis Sheet'!$B$37))+1,LEN('Analysis Sheet'!$B$37))))</f>
        <v/>
      </c>
      <c r="K37" s="49" t="str">
        <f ca="1">IF(NOT(ISBLANK($B$37)),TRIM(MID(SUBSTITUTE('Analysis Sheet'!$B$37,", ",REPT(" ",LEN('Analysis Sheet'!$B$37))),((COLUMNS('Analysis Sheet'!$B$37:$B$37)-(OFFSET('Values Table'!W2,0,0)))*LEN('Analysis Sheet'!$B$37))+1,LEN('Analysis Sheet'!$B$37))))</f>
        <v/>
      </c>
      <c r="L37" s="49" t="str">
        <f ca="1">IF(NOT(ISBLANK($B$37)),TRIM(MID(SUBSTITUTE('Analysis Sheet'!$B$37,", ",REPT(" ",LEN('Analysis Sheet'!$B$37))),((COLUMNS('Analysis Sheet'!$B$37:$B$37)-(OFFSET('Values Table'!X2,0,0)))*LEN('Analysis Sheet'!$B$37))+1,LEN('Analysis Sheet'!$B$37))))</f>
        <v/>
      </c>
      <c r="M37" s="49" t="str">
        <f ca="1">IF(NOT(ISBLANK($B$37)),TRIM(MID(SUBSTITUTE('Analysis Sheet'!$B$37,", ",REPT(" ",LEN('Analysis Sheet'!$B$37))),((COLUMNS('Analysis Sheet'!$B$37:$B$37)-(OFFSET('Values Table'!Y2,0,0)))*LEN('Analysis Sheet'!$B$37))+1,LEN('Analysis Sheet'!$B$37))))</f>
        <v/>
      </c>
      <c r="N37" s="49" t="str">
        <f ca="1">IF(NOT(ISBLANK($B$37)),TRIM(MID(SUBSTITUTE('Analysis Sheet'!$B$37,", ",REPT(" ",LEN('Analysis Sheet'!$B$37))),((COLUMNS('Analysis Sheet'!$B$37:$B$37)-(OFFSET('Values Table'!Z2,0,0)))*LEN('Analysis Sheet'!$B$37))+1,LEN('Analysis Sheet'!$B$37))))</f>
        <v/>
      </c>
      <c r="O37" s="49" t="str">
        <f ca="1">IF(NOT(ISBLANK($B$37)),TRIM(MID(SUBSTITUTE('Analysis Sheet'!$B$37,", ",REPT(" ",LEN('Analysis Sheet'!$B$37))),((COLUMNS('Analysis Sheet'!$B$37:$B$37)-(OFFSET('Values Table'!AA2,0,0)))*LEN('Analysis Sheet'!$B$37))+1,LEN('Analysis Sheet'!$B$37))))</f>
        <v/>
      </c>
      <c r="P37" s="49" t="str">
        <f ca="1">IF(NOT(ISBLANK($B$37)),TRIM(MID(SUBSTITUTE('Analysis Sheet'!$B$37,", ",REPT(" ",LEN('Analysis Sheet'!$B$37))),((COLUMNS('Analysis Sheet'!$B$37:$B$37)-(OFFSET('Values Table'!AB2,0,0)))*LEN('Analysis Sheet'!$B$37))+1,LEN('Analysis Sheet'!$B$37))))</f>
        <v/>
      </c>
      <c r="Q37" s="49" t="str">
        <f ca="1">IF(NOT(ISBLANK($B$37)),TRIM(MID(SUBSTITUTE('Analysis Sheet'!$B$37,", ",REPT(" ",LEN('Analysis Sheet'!$B$37))),((COLUMNS('Analysis Sheet'!$B$37:$B$37)-(OFFSET('Values Table'!AC2,0,0)))*LEN('Analysis Sheet'!$B$37))+1,LEN('Analysis Sheet'!$B$37))))</f>
        <v/>
      </c>
      <c r="R37" s="49" t="str">
        <f ca="1">IF(NOT(ISBLANK($B$37)),TRIM(MID(SUBSTITUTE('Analysis Sheet'!$B$37,", ",REPT(" ",LEN('Analysis Sheet'!$B$37))),((COLUMNS('Analysis Sheet'!$B$37:$B$37)-(OFFSET('Values Table'!AD2,0,0)))*LEN('Analysis Sheet'!$B$37))+1,LEN('Analysis Sheet'!$B$37))))</f>
        <v/>
      </c>
      <c r="S37" s="49" t="str">
        <f ca="1">IF(NOT(ISBLANK($B$37)),TRIM(MID(SUBSTITUTE('Analysis Sheet'!$B$37,", ",REPT(" ",LEN('Analysis Sheet'!$B$37))),((COLUMNS('Analysis Sheet'!$B$37:$B$37)-(OFFSET('Values Table'!AE2,0,0)))*LEN('Analysis Sheet'!$B$37))+1,LEN('Analysis Sheet'!$B$37))))</f>
        <v/>
      </c>
      <c r="T37" s="49" t="str">
        <f ca="1">IF(NOT(ISBLANK($B$37)),TRIM(MID(SUBSTITUTE('Analysis Sheet'!$B$37,", ",REPT(" ",LEN('Analysis Sheet'!$B$37))),((COLUMNS('Analysis Sheet'!$B$37:$B$37)-(OFFSET('Values Table'!AF2,0,0)))*LEN('Analysis Sheet'!$B$37))+1,LEN('Analysis Sheet'!$B$37))))</f>
        <v/>
      </c>
      <c r="U37" s="49" t="str">
        <f ca="1">IF(NOT(ISBLANK($B$37)),TRIM(MID(SUBSTITUTE('Analysis Sheet'!$B$37,", ",REPT(" ",LEN('Analysis Sheet'!$B$37))),((COLUMNS('Analysis Sheet'!$B$37:$B$37)-(OFFSET('Values Table'!AG2,0,0)))*LEN('Analysis Sheet'!$B$37))+1,LEN('Analysis Sheet'!$B$37))))</f>
        <v/>
      </c>
      <c r="V37" s="49" t="str">
        <f ca="1">IF(NOT(ISBLANK($B$37)),TRIM(MID(SUBSTITUTE('Analysis Sheet'!$B$37,", ",REPT(" ",LEN('Analysis Sheet'!$B$37))),((COLUMNS('Analysis Sheet'!$B$37:$B$37)-(OFFSET('Values Table'!AH2,0,0)))*LEN('Analysis Sheet'!$B$37))+1,LEN('Analysis Sheet'!$B$37))))</f>
        <v/>
      </c>
      <c r="W37" s="42"/>
      <c r="X37" s="20" t="str">
        <f ca="1">UNIQUE($C$24:$V$43, 14)</f>
        <v/>
      </c>
      <c r="Y37" s="21" t="str">
        <f ca="1">IFERROR(VLOOKUP('Analysis Sheet'!X37,'Values Table'!$A$2:$B$42,2,FALSE), "0")</f>
        <v>0</v>
      </c>
    </row>
    <row r="38" spans="1:26" s="3" customFormat="1" x14ac:dyDescent="0.3">
      <c r="A38" s="3" t="str">
        <f>UStrip('User Ranking Form'!A38)</f>
        <v/>
      </c>
      <c r="B38" s="21" t="str">
        <f>IFERROR(MatchWords('Analysis Sheet'!A38, 'Values Table'!$A$2:$B$42)," ")</f>
        <v xml:space="preserve"> </v>
      </c>
      <c r="C38" s="49" t="str">
        <f ca="1">IF(NOT(ISBLANK($B$38)),TRIM(MID(SUBSTITUTE('Analysis Sheet'!$B$38,", ",REPT(" ",LEN('Analysis Sheet'!$B$38))),((COLUMNS('Analysis Sheet'!$B$38:$B$38)-(OFFSET('Values Table'!O2,0,0)))*LEN('Analysis Sheet'!$B$38))+1,LEN('Analysis Sheet'!$B$38))))</f>
        <v/>
      </c>
      <c r="D38" s="49" t="str">
        <f ca="1">IF(NOT(ISBLANK($B$38)),TRIM(MID(SUBSTITUTE('Analysis Sheet'!$B$38,", ",REPT(" ",LEN('Analysis Sheet'!$B$38))),((COLUMNS('Analysis Sheet'!$B$38:$B$38)-(OFFSET('Values Table'!P2,0,0)))*LEN('Analysis Sheet'!$B$38))+1,LEN('Analysis Sheet'!$B$38))))</f>
        <v/>
      </c>
      <c r="E38" s="49" t="str">
        <f ca="1">IF(NOT(ISBLANK($B$38)),TRIM(MID(SUBSTITUTE('Analysis Sheet'!$B$38,", ",REPT(" ",LEN('Analysis Sheet'!$B$38))),((COLUMNS('Analysis Sheet'!$B$38:$B$38)-(OFFSET('Values Table'!Q2,0,0)))*LEN('Analysis Sheet'!$B$38))+1,LEN('Analysis Sheet'!$B$38))))</f>
        <v/>
      </c>
      <c r="F38" s="49" t="str">
        <f ca="1">IF(NOT(ISBLANK($B$38)),TRIM(MID(SUBSTITUTE('Analysis Sheet'!$B$38,", ",REPT(" ",LEN('Analysis Sheet'!$B$38))),((COLUMNS('Analysis Sheet'!$B$38:$B$38)-(OFFSET('Values Table'!R2,0,0)))*LEN('Analysis Sheet'!$B$38))+1,LEN('Analysis Sheet'!$B$38))))</f>
        <v/>
      </c>
      <c r="G38" s="49" t="str">
        <f ca="1">IF(NOT(ISBLANK($B$38)),TRIM(MID(SUBSTITUTE('Analysis Sheet'!$B$38,", ",REPT(" ",LEN('Analysis Sheet'!$B$38))),((COLUMNS('Analysis Sheet'!$B$38:$B$38)-(OFFSET('Values Table'!S2,0,0)))*LEN('Analysis Sheet'!$B$38))+1,LEN('Analysis Sheet'!$B$38))))</f>
        <v/>
      </c>
      <c r="H38" s="49" t="str">
        <f ca="1">IF(NOT(ISBLANK($B$38)),TRIM(MID(SUBSTITUTE('Analysis Sheet'!$B$38,", ",REPT(" ",LEN('Analysis Sheet'!$B$38))),((COLUMNS('Analysis Sheet'!$B$38:$B$38)-(OFFSET('Values Table'!T2,0,0)))*LEN('Analysis Sheet'!$B$38))+1,LEN('Analysis Sheet'!$B$38))))</f>
        <v/>
      </c>
      <c r="I38" s="49" t="str">
        <f ca="1">IF(NOT(ISBLANK($B$38)),TRIM(MID(SUBSTITUTE('Analysis Sheet'!$B$38,", ",REPT(" ",LEN('Analysis Sheet'!$B$38))),((COLUMNS('Analysis Sheet'!$B$38:$B$38)-(OFFSET('Values Table'!U2,0,0)))*LEN('Analysis Sheet'!$B$38))+1,LEN('Analysis Sheet'!$B$38))))</f>
        <v/>
      </c>
      <c r="J38" s="49" t="str">
        <f ca="1">IF(NOT(ISBLANK($B$38)),TRIM(MID(SUBSTITUTE('Analysis Sheet'!$B$38,", ",REPT(" ",LEN('Analysis Sheet'!$B$38))),((COLUMNS('Analysis Sheet'!$B$38:$B$38)-(OFFSET('Values Table'!V2,0,0)))*LEN('Analysis Sheet'!$B$38))+1,LEN('Analysis Sheet'!$B$38))))</f>
        <v/>
      </c>
      <c r="K38" s="49" t="str">
        <f ca="1">IF(NOT(ISBLANK($B$38)),TRIM(MID(SUBSTITUTE('Analysis Sheet'!$B$38,", ",REPT(" ",LEN('Analysis Sheet'!$B$38))),((COLUMNS('Analysis Sheet'!$B$38:$B$38)-(OFFSET('Values Table'!W2,0,0)))*LEN('Analysis Sheet'!$B$38))+1,LEN('Analysis Sheet'!$B$38))))</f>
        <v/>
      </c>
      <c r="L38" s="49" t="str">
        <f ca="1">IF(NOT(ISBLANK($B$38)),TRIM(MID(SUBSTITUTE('Analysis Sheet'!$B$38,", ",REPT(" ",LEN('Analysis Sheet'!$B$38))),((COLUMNS('Analysis Sheet'!$B$38:$B$38)-(OFFSET('Values Table'!X2,0,0)))*LEN('Analysis Sheet'!$B$38))+1,LEN('Analysis Sheet'!$B$38))))</f>
        <v/>
      </c>
      <c r="M38" s="49" t="str">
        <f ca="1">IF(NOT(ISBLANK($B$38)),TRIM(MID(SUBSTITUTE('Analysis Sheet'!$B$38,", ",REPT(" ",LEN('Analysis Sheet'!$B$38))),((COLUMNS('Analysis Sheet'!$B$38:$B$38)-(OFFSET('Values Table'!Y2,0,0)))*LEN('Analysis Sheet'!$B$38))+1,LEN('Analysis Sheet'!$B$38))))</f>
        <v/>
      </c>
      <c r="N38" s="49" t="str">
        <f ca="1">IF(NOT(ISBLANK($B$38)),TRIM(MID(SUBSTITUTE('Analysis Sheet'!$B$38,", ",REPT(" ",LEN('Analysis Sheet'!$B$38))),((COLUMNS('Analysis Sheet'!$B$38:$B$38)-(OFFSET('Values Table'!Z2,0,0)))*LEN('Analysis Sheet'!$B$38))+1,LEN('Analysis Sheet'!$B$38))))</f>
        <v/>
      </c>
      <c r="O38" s="49" t="str">
        <f ca="1">IF(NOT(ISBLANK($B$38)),TRIM(MID(SUBSTITUTE('Analysis Sheet'!$B$38,", ",REPT(" ",LEN('Analysis Sheet'!$B$38))),((COLUMNS('Analysis Sheet'!$B$38:$B$38)-(OFFSET('Values Table'!AA2,0,0)))*LEN('Analysis Sheet'!$B$38))+1,LEN('Analysis Sheet'!$B$38))))</f>
        <v/>
      </c>
      <c r="P38" s="49" t="str">
        <f ca="1">IF(NOT(ISBLANK($B$38)),TRIM(MID(SUBSTITUTE('Analysis Sheet'!$B$38,", ",REPT(" ",LEN('Analysis Sheet'!$B$38))),((COLUMNS('Analysis Sheet'!$B$38:$B$38)-(OFFSET('Values Table'!AB2,0,0)))*LEN('Analysis Sheet'!$B$38))+1,LEN('Analysis Sheet'!$B$38))))</f>
        <v/>
      </c>
      <c r="Q38" s="49" t="str">
        <f ca="1">IF(NOT(ISBLANK($B$38)),TRIM(MID(SUBSTITUTE('Analysis Sheet'!$B$38,", ",REPT(" ",LEN('Analysis Sheet'!$B$38))),((COLUMNS('Analysis Sheet'!$B$38:$B$38)-(OFFSET('Values Table'!AC2,0,0)))*LEN('Analysis Sheet'!$B$38))+1,LEN('Analysis Sheet'!$B$38))))</f>
        <v/>
      </c>
      <c r="R38" s="49" t="str">
        <f ca="1">IF(NOT(ISBLANK($B$38)),TRIM(MID(SUBSTITUTE('Analysis Sheet'!$B$38,", ",REPT(" ",LEN('Analysis Sheet'!$B$38))),((COLUMNS('Analysis Sheet'!$B$38:$B$38)-(OFFSET('Values Table'!AD2,0,0)))*LEN('Analysis Sheet'!$B$38))+1,LEN('Analysis Sheet'!$B$38))))</f>
        <v/>
      </c>
      <c r="S38" s="49" t="str">
        <f ca="1">IF(NOT(ISBLANK($B$38)),TRIM(MID(SUBSTITUTE('Analysis Sheet'!$B$38,", ",REPT(" ",LEN('Analysis Sheet'!$B$38))),((COLUMNS('Analysis Sheet'!$B$38:$B$38)-(OFFSET('Values Table'!AE2,0,0)))*LEN('Analysis Sheet'!$B$38))+1,LEN('Analysis Sheet'!$B$38))))</f>
        <v/>
      </c>
      <c r="T38" s="49" t="str">
        <f ca="1">IF(NOT(ISBLANK($B$38)),TRIM(MID(SUBSTITUTE('Analysis Sheet'!$B$38,", ",REPT(" ",LEN('Analysis Sheet'!$B$38))),((COLUMNS('Analysis Sheet'!$B$38:$B$38)-(OFFSET('Values Table'!AF2,0,0)))*LEN('Analysis Sheet'!$B$38))+1,LEN('Analysis Sheet'!$B$38))))</f>
        <v/>
      </c>
      <c r="U38" s="49" t="str">
        <f ca="1">IF(NOT(ISBLANK($B$38)),TRIM(MID(SUBSTITUTE('Analysis Sheet'!$B$38,", ",REPT(" ",LEN('Analysis Sheet'!$B$38))),((COLUMNS('Analysis Sheet'!$B$38:$B$38)-(OFFSET('Values Table'!AG2,0,0)))*LEN('Analysis Sheet'!$B$38))+1,LEN('Analysis Sheet'!$B$38))))</f>
        <v/>
      </c>
      <c r="V38" s="49" t="str">
        <f ca="1">IF(NOT(ISBLANK($B$38)),TRIM(MID(SUBSTITUTE('Analysis Sheet'!$B$38,", ",REPT(" ",LEN('Analysis Sheet'!$B$38))),((COLUMNS('Analysis Sheet'!$B$38:$B$38)-(OFFSET('Values Table'!AH2,0,0)))*LEN('Analysis Sheet'!$B$38))+1,LEN('Analysis Sheet'!$B$38))))</f>
        <v/>
      </c>
      <c r="W38" s="42"/>
      <c r="X38" s="20" t="str">
        <f ca="1">UNIQUE($C$24:$V$43, 15)</f>
        <v/>
      </c>
      <c r="Y38" s="21" t="str">
        <f ca="1">IFERROR(VLOOKUP('Analysis Sheet'!X38,'Values Table'!$A$2:$B$42,2,FALSE), "0")</f>
        <v>0</v>
      </c>
    </row>
    <row r="39" spans="1:26" s="3" customFormat="1" x14ac:dyDescent="0.3">
      <c r="A39" s="3" t="str">
        <f>UStrip('User Ranking Form'!A39)</f>
        <v/>
      </c>
      <c r="B39" s="21" t="str">
        <f>IFERROR(MatchWords('Analysis Sheet'!A39, 'Values Table'!$A$2:$B$42)," ")</f>
        <v xml:space="preserve"> </v>
      </c>
      <c r="C39" s="49" t="str">
        <f ca="1">IF(NOT(ISBLANK($B$39)),TRIM(MID(SUBSTITUTE('Analysis Sheet'!$B$39,", ",REPT(" ",LEN('Analysis Sheet'!$B$39))),((COLUMNS('Analysis Sheet'!$B$39:$B$39)-(OFFSET('Values Table'!O2,0,0)))*LEN('Analysis Sheet'!$B$39))+1,LEN('Analysis Sheet'!$B$39))))</f>
        <v/>
      </c>
      <c r="D39" s="49" t="str">
        <f ca="1">IF(NOT(ISBLANK($B$39)),TRIM(MID(SUBSTITUTE('Analysis Sheet'!$B$39,", ",REPT(" ",LEN('Analysis Sheet'!$B$39))),((COLUMNS('Analysis Sheet'!$B$39:$B$39)-(OFFSET('Values Table'!P2,0,0)))*LEN('Analysis Sheet'!$B$39))+1,LEN('Analysis Sheet'!$B$39))))</f>
        <v/>
      </c>
      <c r="E39" s="49" t="str">
        <f ca="1">IF(NOT(ISBLANK($B$39)),TRIM(MID(SUBSTITUTE('Analysis Sheet'!$B$39,", ",REPT(" ",LEN('Analysis Sheet'!$B$39))),((COLUMNS('Analysis Sheet'!$B$39:$B$39)-(OFFSET('Values Table'!Q2,0,0)))*LEN('Analysis Sheet'!$B$39))+1,LEN('Analysis Sheet'!$B$39))))</f>
        <v/>
      </c>
      <c r="F39" s="49" t="str">
        <f ca="1">IF(NOT(ISBLANK($B$39)),TRIM(MID(SUBSTITUTE('Analysis Sheet'!$B$39,", ",REPT(" ",LEN('Analysis Sheet'!$B$39))),((COLUMNS('Analysis Sheet'!$B$39:$B$39)-(OFFSET('Values Table'!R2,0,0)))*LEN('Analysis Sheet'!$B$39))+1,LEN('Analysis Sheet'!$B$39))))</f>
        <v/>
      </c>
      <c r="G39" s="49" t="str">
        <f ca="1">IF(NOT(ISBLANK($B$39)),TRIM(MID(SUBSTITUTE('Analysis Sheet'!$B$39,", ",REPT(" ",LEN('Analysis Sheet'!$B$39))),((COLUMNS('Analysis Sheet'!$B$39:$B$39)-(OFFSET('Values Table'!S2,0,0)))*LEN('Analysis Sheet'!$B$39))+1,LEN('Analysis Sheet'!$B$39))))</f>
        <v/>
      </c>
      <c r="H39" s="49" t="str">
        <f ca="1">IF(NOT(ISBLANK($B$39)),TRIM(MID(SUBSTITUTE('Analysis Sheet'!$B$39,", ",REPT(" ",LEN('Analysis Sheet'!$B$39))),((COLUMNS('Analysis Sheet'!$B$39:$B$39)-(OFFSET('Values Table'!T2,0,0)))*LEN('Analysis Sheet'!$B$39))+1,LEN('Analysis Sheet'!$B$39))))</f>
        <v/>
      </c>
      <c r="I39" s="49" t="str">
        <f ca="1">IF(NOT(ISBLANK($B$39)),TRIM(MID(SUBSTITUTE('Analysis Sheet'!$B$39,", ",REPT(" ",LEN('Analysis Sheet'!$B$39))),((COLUMNS('Analysis Sheet'!$B$39:$B$39)-(OFFSET('Values Table'!U2,0,0)))*LEN('Analysis Sheet'!$B$39))+1,LEN('Analysis Sheet'!$B$39))))</f>
        <v/>
      </c>
      <c r="J39" s="49" t="str">
        <f ca="1">IF(NOT(ISBLANK($B$39)),TRIM(MID(SUBSTITUTE('Analysis Sheet'!$B$39,", ",REPT(" ",LEN('Analysis Sheet'!$B$39))),((COLUMNS('Analysis Sheet'!$B$39:$B$39)-(OFFSET('Values Table'!V2,0,0)))*LEN('Analysis Sheet'!$B$39))+1,LEN('Analysis Sheet'!$B$39))))</f>
        <v/>
      </c>
      <c r="K39" s="49" t="str">
        <f ca="1">IF(NOT(ISBLANK($B$39)),TRIM(MID(SUBSTITUTE('Analysis Sheet'!$B$39,", ",REPT(" ",LEN('Analysis Sheet'!$B$39))),((COLUMNS('Analysis Sheet'!$B$39:$B$39)-(OFFSET('Values Table'!W2,0,0)))*LEN('Analysis Sheet'!$B$39))+1,LEN('Analysis Sheet'!$B$39))))</f>
        <v/>
      </c>
      <c r="L39" s="49" t="str">
        <f ca="1">IF(NOT(ISBLANK($B$39)),TRIM(MID(SUBSTITUTE('Analysis Sheet'!$B$39,", ",REPT(" ",LEN('Analysis Sheet'!$B$39))),((COLUMNS('Analysis Sheet'!$B$39:$B$39)-(OFFSET('Values Table'!X2,0,0)))*LEN('Analysis Sheet'!$B$39))+1,LEN('Analysis Sheet'!$B$39))))</f>
        <v/>
      </c>
      <c r="M39" s="49" t="str">
        <f ca="1">IF(NOT(ISBLANK($B$39)),TRIM(MID(SUBSTITUTE('Analysis Sheet'!$B$39,", ",REPT(" ",LEN('Analysis Sheet'!$B$39))),((COLUMNS('Analysis Sheet'!$B$39:$B$39)-(OFFSET('Values Table'!Y2,0,0)))*LEN('Analysis Sheet'!$B$39))+1,LEN('Analysis Sheet'!$B$39))))</f>
        <v/>
      </c>
      <c r="N39" s="49" t="str">
        <f ca="1">IF(NOT(ISBLANK($B$39)),TRIM(MID(SUBSTITUTE('Analysis Sheet'!$B$39,", ",REPT(" ",LEN('Analysis Sheet'!$B$39))),((COLUMNS('Analysis Sheet'!$B$39:$B$39)-(OFFSET('Values Table'!Z2,0,0)))*LEN('Analysis Sheet'!$B$39))+1,LEN('Analysis Sheet'!$B$39))))</f>
        <v/>
      </c>
      <c r="O39" s="49" t="str">
        <f ca="1">IF(NOT(ISBLANK($B$39)),TRIM(MID(SUBSTITUTE('Analysis Sheet'!$B$39,", ",REPT(" ",LEN('Analysis Sheet'!$B$39))),((COLUMNS('Analysis Sheet'!$B$39:$B$39)-(OFFSET('Values Table'!AA2,0,0)))*LEN('Analysis Sheet'!$B$39))+1,LEN('Analysis Sheet'!$B$39))))</f>
        <v/>
      </c>
      <c r="P39" s="49" t="str">
        <f ca="1">IF(NOT(ISBLANK($B$39)),TRIM(MID(SUBSTITUTE('Analysis Sheet'!$B$39,", ",REPT(" ",LEN('Analysis Sheet'!$B$39))),((COLUMNS('Analysis Sheet'!$B$39:$B$39)-(OFFSET('Values Table'!AB2,0,0)))*LEN('Analysis Sheet'!$B$39))+1,LEN('Analysis Sheet'!$B$39))))</f>
        <v/>
      </c>
      <c r="Q39" s="49" t="str">
        <f ca="1">IF(NOT(ISBLANK($B$39)),TRIM(MID(SUBSTITUTE('Analysis Sheet'!$B$39,", ",REPT(" ",LEN('Analysis Sheet'!$B$39))),((COLUMNS('Analysis Sheet'!$B$39:$B$39)-(OFFSET('Values Table'!AC2,0,0)))*LEN('Analysis Sheet'!$B$39))+1,LEN('Analysis Sheet'!$B$39))))</f>
        <v/>
      </c>
      <c r="R39" s="49" t="str">
        <f ca="1">IF(NOT(ISBLANK($B$39)),TRIM(MID(SUBSTITUTE('Analysis Sheet'!$B$39,", ",REPT(" ",LEN('Analysis Sheet'!$B$39))),((COLUMNS('Analysis Sheet'!$B$39:$B$39)-(OFFSET('Values Table'!AD2,0,0)))*LEN('Analysis Sheet'!$B$39))+1,LEN('Analysis Sheet'!$B$39))))</f>
        <v/>
      </c>
      <c r="S39" s="49" t="str">
        <f ca="1">IF(NOT(ISBLANK($B$39)),TRIM(MID(SUBSTITUTE('Analysis Sheet'!$B$39,", ",REPT(" ",LEN('Analysis Sheet'!$B$39))),((COLUMNS('Analysis Sheet'!$B$39:$B$39)-(OFFSET('Values Table'!AE2,0,0)))*LEN('Analysis Sheet'!$B$39))+1,LEN('Analysis Sheet'!$B$39))))</f>
        <v/>
      </c>
      <c r="T39" s="49" t="str">
        <f ca="1">IF(NOT(ISBLANK($B$39)),TRIM(MID(SUBSTITUTE('Analysis Sheet'!$B$39,", ",REPT(" ",LEN('Analysis Sheet'!$B$39))),((COLUMNS('Analysis Sheet'!$B$39:$B$39)-(OFFSET('Values Table'!AF2,0,0)))*LEN('Analysis Sheet'!$B$39))+1,LEN('Analysis Sheet'!$B$39))))</f>
        <v/>
      </c>
      <c r="U39" s="49" t="str">
        <f ca="1">IF(NOT(ISBLANK($B$39)),TRIM(MID(SUBSTITUTE('Analysis Sheet'!$B$39,", ",REPT(" ",LEN('Analysis Sheet'!$B$39))),((COLUMNS('Analysis Sheet'!$B$39:$B$39)-(OFFSET('Values Table'!AG2,0,0)))*LEN('Analysis Sheet'!$B$39))+1,LEN('Analysis Sheet'!$B$39))))</f>
        <v/>
      </c>
      <c r="V39" s="49" t="str">
        <f ca="1">IF(NOT(ISBLANK($B$39)),TRIM(MID(SUBSTITUTE('Analysis Sheet'!$B$39,", ",REPT(" ",LEN('Analysis Sheet'!$B$39))),((COLUMNS('Analysis Sheet'!$B$39:$B$39)-(OFFSET('Values Table'!AH2,0,0)))*LEN('Analysis Sheet'!$B$39))+1,LEN('Analysis Sheet'!$B$39))))</f>
        <v/>
      </c>
      <c r="W39" s="42"/>
      <c r="X39" s="20" t="str">
        <f ca="1">UNIQUE($C$24:$V$43, 16)</f>
        <v/>
      </c>
      <c r="Y39" s="21" t="str">
        <f ca="1">IFERROR(VLOOKUP('Analysis Sheet'!X39,'Values Table'!$A$2:$B$42,2,FALSE), "0")</f>
        <v>0</v>
      </c>
    </row>
    <row r="40" spans="1:26" s="3" customFormat="1" x14ac:dyDescent="0.3">
      <c r="A40" s="3" t="str">
        <f>UStrip('User Ranking Form'!A40)</f>
        <v/>
      </c>
      <c r="B40" s="21" t="str">
        <f>IFERROR(MatchWords('Analysis Sheet'!A40, 'Values Table'!$A$2:$B$42)," ")</f>
        <v xml:space="preserve"> </v>
      </c>
      <c r="C40" s="49" t="str">
        <f ca="1">IF(NOT(ISBLANK($B$40)),TRIM(MID(SUBSTITUTE('Analysis Sheet'!$B$40,", ",REPT(" ",LEN('Analysis Sheet'!$B$40))),((COLUMNS('Analysis Sheet'!$B$40:$B$40)-(OFFSET('Values Table'!O2,0,0)))*LEN('Analysis Sheet'!$B$40))+1,LEN('Analysis Sheet'!$B$40))))</f>
        <v/>
      </c>
      <c r="D40" s="49" t="str">
        <f ca="1">IF(NOT(ISBLANK($B$40)),TRIM(MID(SUBSTITUTE('Analysis Sheet'!$B$40,", ",REPT(" ",LEN('Analysis Sheet'!$B$40))),((COLUMNS('Analysis Sheet'!$B$40:$B$40)-(OFFSET('Values Table'!P2,0,0)))*LEN('Analysis Sheet'!$B$40))+1,LEN('Analysis Sheet'!$B$40))))</f>
        <v/>
      </c>
      <c r="E40" s="49" t="str">
        <f ca="1">IF(NOT(ISBLANK($B$40)),TRIM(MID(SUBSTITUTE('Analysis Sheet'!$B$40,", ",REPT(" ",LEN('Analysis Sheet'!$B$40))),((COLUMNS('Analysis Sheet'!$B$40:$B$40)-(OFFSET('Values Table'!Q2,0,0)))*LEN('Analysis Sheet'!$B$40))+1,LEN('Analysis Sheet'!$B$40))))</f>
        <v/>
      </c>
      <c r="F40" s="49" t="str">
        <f ca="1">IF(NOT(ISBLANK($B$40)),TRIM(MID(SUBSTITUTE('Analysis Sheet'!$B$40,", ",REPT(" ",LEN('Analysis Sheet'!$B$40))),((COLUMNS('Analysis Sheet'!$B$40:$B$40)-(OFFSET('Values Table'!R2,0,0)))*LEN('Analysis Sheet'!$B$40))+1,LEN('Analysis Sheet'!$B$40))))</f>
        <v/>
      </c>
      <c r="G40" s="49" t="str">
        <f ca="1">IF(NOT(ISBLANK($B$40)),TRIM(MID(SUBSTITUTE('Analysis Sheet'!$B$40,", ",REPT(" ",LEN('Analysis Sheet'!$B$40))),((COLUMNS('Analysis Sheet'!$B$40:$B$40)-(OFFSET('Values Table'!S2,0,0)))*LEN('Analysis Sheet'!$B$40))+1,LEN('Analysis Sheet'!$B$40))))</f>
        <v/>
      </c>
      <c r="H40" s="49" t="str">
        <f ca="1">IF(NOT(ISBLANK($B$40)),TRIM(MID(SUBSTITUTE('Analysis Sheet'!$B$40,", ",REPT(" ",LEN('Analysis Sheet'!$B$40))),((COLUMNS('Analysis Sheet'!$B$40:$B$40)-(OFFSET('Values Table'!T2,0,0)))*LEN('Analysis Sheet'!$B$40))+1,LEN('Analysis Sheet'!$B$40))))</f>
        <v/>
      </c>
      <c r="I40" s="49" t="str">
        <f ca="1">IF(NOT(ISBLANK($B$40)),TRIM(MID(SUBSTITUTE('Analysis Sheet'!$B$40,", ",REPT(" ",LEN('Analysis Sheet'!$B$40))),((COLUMNS('Analysis Sheet'!$B$40:$B$40)-(OFFSET('Values Table'!U2,0,0)))*LEN('Analysis Sheet'!$B$40))+1,LEN('Analysis Sheet'!$B$40))))</f>
        <v/>
      </c>
      <c r="J40" s="49" t="str">
        <f ca="1">IF(NOT(ISBLANK($B$40)),TRIM(MID(SUBSTITUTE('Analysis Sheet'!$B$40,", ",REPT(" ",LEN('Analysis Sheet'!$B$40))),((COLUMNS('Analysis Sheet'!$B$40:$B$40)-(OFFSET('Values Table'!V2,0,0)))*LEN('Analysis Sheet'!$B$40))+1,LEN('Analysis Sheet'!$B$40))))</f>
        <v/>
      </c>
      <c r="K40" s="49" t="str">
        <f ca="1">IF(NOT(ISBLANK($B$40)),TRIM(MID(SUBSTITUTE('Analysis Sheet'!$B$40,", ",REPT(" ",LEN('Analysis Sheet'!$B$40))),((COLUMNS('Analysis Sheet'!$B$40:$B$40)-(OFFSET('Values Table'!W2,0,0)))*LEN('Analysis Sheet'!$B$40))+1,LEN('Analysis Sheet'!$B$40))))</f>
        <v/>
      </c>
      <c r="L40" s="49" t="str">
        <f ca="1">IF(NOT(ISBLANK($B$40)),TRIM(MID(SUBSTITUTE('Analysis Sheet'!$B$40,", ",REPT(" ",LEN('Analysis Sheet'!$B$40))),((COLUMNS('Analysis Sheet'!$B$40:$B$40)-(OFFSET('Values Table'!X2,0,0)))*LEN('Analysis Sheet'!$B$40))+1,LEN('Analysis Sheet'!$B$40))))</f>
        <v/>
      </c>
      <c r="M40" s="49" t="str">
        <f ca="1">IF(NOT(ISBLANK($B$40)),TRIM(MID(SUBSTITUTE('Analysis Sheet'!$B$40,", ",REPT(" ",LEN('Analysis Sheet'!$B$40))),((COLUMNS('Analysis Sheet'!$B$40:$B$40)-(OFFSET('Values Table'!Y2,0,0)))*LEN('Analysis Sheet'!$B$40))+1,LEN('Analysis Sheet'!$B$40))))</f>
        <v/>
      </c>
      <c r="N40" s="49" t="str">
        <f ca="1">IF(NOT(ISBLANK($B$40)),TRIM(MID(SUBSTITUTE('Analysis Sheet'!$B$40,", ",REPT(" ",LEN('Analysis Sheet'!$B$40))),((COLUMNS('Analysis Sheet'!$B$40:$B$40)-(OFFSET('Values Table'!Z2,0,0)))*LEN('Analysis Sheet'!$B$40))+1,LEN('Analysis Sheet'!$B$40))))</f>
        <v/>
      </c>
      <c r="O40" s="49" t="str">
        <f ca="1">IF(NOT(ISBLANK($B$40)),TRIM(MID(SUBSTITUTE('Analysis Sheet'!$B$40,", ",REPT(" ",LEN('Analysis Sheet'!$B$40))),((COLUMNS('Analysis Sheet'!$B$40:$B$40)-(OFFSET('Values Table'!AA2,0,0)))*LEN('Analysis Sheet'!$B$40))+1,LEN('Analysis Sheet'!$B$40))))</f>
        <v/>
      </c>
      <c r="P40" s="49" t="str">
        <f ca="1">IF(NOT(ISBLANK($B$40)),TRIM(MID(SUBSTITUTE('Analysis Sheet'!$B$40,", ",REPT(" ",LEN('Analysis Sheet'!$B$40))),((COLUMNS('Analysis Sheet'!$B$40:$B$40)-(OFFSET('Values Table'!AB2,0,0)))*LEN('Analysis Sheet'!$B$40))+1,LEN('Analysis Sheet'!$B$40))))</f>
        <v/>
      </c>
      <c r="Q40" s="49" t="str">
        <f ca="1">IF(NOT(ISBLANK($B$40)),TRIM(MID(SUBSTITUTE('Analysis Sheet'!$B$40,", ",REPT(" ",LEN('Analysis Sheet'!$B$40))),((COLUMNS('Analysis Sheet'!$B$40:$B$40)-(OFFSET('Values Table'!AC2,0,0)))*LEN('Analysis Sheet'!$B$40))+1,LEN('Analysis Sheet'!$B$40))))</f>
        <v/>
      </c>
      <c r="R40" s="49" t="str">
        <f ca="1">IF(NOT(ISBLANK($B$40)),TRIM(MID(SUBSTITUTE('Analysis Sheet'!$B$40,", ",REPT(" ",LEN('Analysis Sheet'!$B$40))),((COLUMNS('Analysis Sheet'!$B$40:$B$40)-(OFFSET('Values Table'!AD2,0,0)))*LEN('Analysis Sheet'!$B$40))+1,LEN('Analysis Sheet'!$B$40))))</f>
        <v/>
      </c>
      <c r="S40" s="49" t="str">
        <f ca="1">IF(NOT(ISBLANK($B$40)),TRIM(MID(SUBSTITUTE('Analysis Sheet'!$B$40,", ",REPT(" ",LEN('Analysis Sheet'!$B$40))),((COLUMNS('Analysis Sheet'!$B$40:$B$40)-(OFFSET('Values Table'!AE2,0,0)))*LEN('Analysis Sheet'!$B$40))+1,LEN('Analysis Sheet'!$B$40))))</f>
        <v/>
      </c>
      <c r="T40" s="49" t="str">
        <f ca="1">IF(NOT(ISBLANK($B$40)),TRIM(MID(SUBSTITUTE('Analysis Sheet'!$B$40,", ",REPT(" ",LEN('Analysis Sheet'!$B$40))),((COLUMNS('Analysis Sheet'!$B$40:$B$40)-(OFFSET('Values Table'!AF2,0,0)))*LEN('Analysis Sheet'!$B$40))+1,LEN('Analysis Sheet'!$B$40))))</f>
        <v/>
      </c>
      <c r="U40" s="49" t="str">
        <f ca="1">IF(NOT(ISBLANK($B$40)),TRIM(MID(SUBSTITUTE('Analysis Sheet'!$B$40,", ",REPT(" ",LEN('Analysis Sheet'!$B$40))),((COLUMNS('Analysis Sheet'!$B$40:$B$40)-(OFFSET('Values Table'!AG2,0,0)))*LEN('Analysis Sheet'!$B$40))+1,LEN('Analysis Sheet'!$B$40))))</f>
        <v/>
      </c>
      <c r="V40" s="49" t="str">
        <f ca="1">IF(NOT(ISBLANK($B$40)),TRIM(MID(SUBSTITUTE('Analysis Sheet'!$B$40,", ",REPT(" ",LEN('Analysis Sheet'!$B$40))),((COLUMNS('Analysis Sheet'!$B$40:$B$40)-(OFFSET('Values Table'!AH2,0,0)))*LEN('Analysis Sheet'!$B$40))+1,LEN('Analysis Sheet'!$B$40))))</f>
        <v/>
      </c>
      <c r="W40" s="42"/>
      <c r="X40" s="20" t="str">
        <f ca="1">UNIQUE($C$24:$V$43, 17)</f>
        <v/>
      </c>
      <c r="Y40" s="21" t="str">
        <f ca="1">IFERROR(VLOOKUP('Analysis Sheet'!X40,'Values Table'!$A$2:$B$42,2,FALSE), "0")</f>
        <v>0</v>
      </c>
    </row>
    <row r="41" spans="1:26" s="3" customFormat="1" x14ac:dyDescent="0.3">
      <c r="A41" s="3" t="str">
        <f>UStrip('User Ranking Form'!A41)</f>
        <v/>
      </c>
      <c r="B41" s="21" t="str">
        <f>IFERROR(MatchWords('Analysis Sheet'!A41, 'Values Table'!$A$2:$B$42)," ")</f>
        <v xml:space="preserve"> </v>
      </c>
      <c r="C41" s="60" t="str">
        <f ca="1">IF(NOT(ISBLANK($B$41)),TRIM(MID(SUBSTITUTE('Analysis Sheet'!$B$41,", ",REPT(" ",LEN('Analysis Sheet'!$B$41))),((COLUMNS('Analysis Sheet'!$B$41:$B$41)-(OFFSET('Values Table'!O2,0,0)))*LEN('Analysis Sheet'!$B$41))+1,LEN('Analysis Sheet'!$B$41))))</f>
        <v/>
      </c>
      <c r="D41" s="49" t="str">
        <f ca="1">IF(NOT(ISBLANK($B$41)),TRIM(MID(SUBSTITUTE('Analysis Sheet'!$B$41,", ",REPT(" ",LEN('Analysis Sheet'!$B$41))),((COLUMNS('Analysis Sheet'!$B$41:$B$41)-(OFFSET('Values Table'!P2,0,0)))*LEN('Analysis Sheet'!$B$41))+1,LEN('Analysis Sheet'!$B$41))))</f>
        <v/>
      </c>
      <c r="E41" s="49" t="str">
        <f ca="1">IF(NOT(ISBLANK($B$41)),TRIM(MID(SUBSTITUTE('Analysis Sheet'!$B$41,", ",REPT(" ",LEN('Analysis Sheet'!$B$41))),((COLUMNS('Analysis Sheet'!$B$41:$B$41)-(OFFSET('Values Table'!Q2,0,0)))*LEN('Analysis Sheet'!$B$41))+1,LEN('Analysis Sheet'!$B$41))))</f>
        <v/>
      </c>
      <c r="F41" s="49" t="str">
        <f ca="1">IF(NOT(ISBLANK($B$41)),TRIM(MID(SUBSTITUTE('Analysis Sheet'!$B$41,", ",REPT(" ",LEN('Analysis Sheet'!$B$41))),((COLUMNS('Analysis Sheet'!$B$41:$B$41)-(OFFSET('Values Table'!R2,0,0)))*LEN('Analysis Sheet'!$B$41))+1,LEN('Analysis Sheet'!$B$41))))</f>
        <v/>
      </c>
      <c r="G41" s="49" t="str">
        <f ca="1">IF(NOT(ISBLANK($B$41)),TRIM(MID(SUBSTITUTE('Analysis Sheet'!$B$41,", ",REPT(" ",LEN('Analysis Sheet'!$B$41))),((COLUMNS('Analysis Sheet'!$B$41:$B$41)-(OFFSET('Values Table'!S2,0,0)))*LEN('Analysis Sheet'!$B$41))+1,LEN('Analysis Sheet'!$B$41))))</f>
        <v/>
      </c>
      <c r="H41" s="49" t="str">
        <f ca="1">IF(NOT(ISBLANK($B$41)),TRIM(MID(SUBSTITUTE('Analysis Sheet'!$B$41,", ",REPT(" ",LEN('Analysis Sheet'!$B$41))),((COLUMNS('Analysis Sheet'!$B$41:$B$41)-(OFFSET('Values Table'!T2,0,0)))*LEN('Analysis Sheet'!$B$41))+1,LEN('Analysis Sheet'!$B$41))))</f>
        <v/>
      </c>
      <c r="I41" s="49" t="str">
        <f ca="1">IF(NOT(ISBLANK($B$41)),TRIM(MID(SUBSTITUTE('Analysis Sheet'!$B$41,", ",REPT(" ",LEN('Analysis Sheet'!$B$41))),((COLUMNS('Analysis Sheet'!$B$41:$B$41)-(OFFSET('Values Table'!U2,0,0)))*LEN('Analysis Sheet'!$B$41))+1,LEN('Analysis Sheet'!$B$41))))</f>
        <v/>
      </c>
      <c r="J41" s="49" t="str">
        <f ca="1">IF(NOT(ISBLANK($B$41)),TRIM(MID(SUBSTITUTE('Analysis Sheet'!$B$41,", ",REPT(" ",LEN('Analysis Sheet'!$B$41))),((COLUMNS('Analysis Sheet'!$B$41:$B$41)-(OFFSET('Values Table'!V2,0,0)))*LEN('Analysis Sheet'!$B$41))+1,LEN('Analysis Sheet'!$B$41))))</f>
        <v/>
      </c>
      <c r="K41" s="49" t="str">
        <f ca="1">IF(NOT(ISBLANK($B$41)),TRIM(MID(SUBSTITUTE('Analysis Sheet'!$B$41,", ",REPT(" ",LEN('Analysis Sheet'!$B$41))),((COLUMNS('Analysis Sheet'!$B$41:$B$41)-(OFFSET('Values Table'!W2,0,0)))*LEN('Analysis Sheet'!$B$41))+1,LEN('Analysis Sheet'!$B$41))))</f>
        <v/>
      </c>
      <c r="L41" s="49" t="str">
        <f ca="1">IF(NOT(ISBLANK($B$41)),TRIM(MID(SUBSTITUTE('Analysis Sheet'!$B$41,", ",REPT(" ",LEN('Analysis Sheet'!$B$41))),((COLUMNS('Analysis Sheet'!$B$41:$B$41)-(OFFSET('Values Table'!X2,0,0)))*LEN('Analysis Sheet'!$B$41))+1,LEN('Analysis Sheet'!$B$41))))</f>
        <v/>
      </c>
      <c r="M41" s="49" t="str">
        <f ca="1">IF(NOT(ISBLANK($B$41)),TRIM(MID(SUBSTITUTE('Analysis Sheet'!$B$41,", ",REPT(" ",LEN('Analysis Sheet'!$B$41))),((COLUMNS('Analysis Sheet'!$B$41:$B$41)-(OFFSET('Values Table'!Y2,0,0)))*LEN('Analysis Sheet'!$B$41))+1,LEN('Analysis Sheet'!$B$41))))</f>
        <v/>
      </c>
      <c r="N41" s="49" t="str">
        <f ca="1">IF(NOT(ISBLANK($B$41)),TRIM(MID(SUBSTITUTE('Analysis Sheet'!$B$41,", ",REPT(" ",LEN('Analysis Sheet'!$B$41))),((COLUMNS('Analysis Sheet'!$B$41:$B$41)-(OFFSET('Values Table'!Z2,0,0)))*LEN('Analysis Sheet'!$B$41))+1,LEN('Analysis Sheet'!$B$41))))</f>
        <v/>
      </c>
      <c r="O41" s="49" t="str">
        <f ca="1">IF(NOT(ISBLANK($B$41)),TRIM(MID(SUBSTITUTE('Analysis Sheet'!$B$41,", ",REPT(" ",LEN('Analysis Sheet'!$B$41))),((COLUMNS('Analysis Sheet'!$B$41:$B$41)-(OFFSET('Values Table'!AA2,0,0)))*LEN('Analysis Sheet'!$B$41))+1,LEN('Analysis Sheet'!$B$41))))</f>
        <v/>
      </c>
      <c r="P41" s="49" t="str">
        <f ca="1">IF(NOT(ISBLANK($B$41)),TRIM(MID(SUBSTITUTE('Analysis Sheet'!$B$41,", ",REPT(" ",LEN('Analysis Sheet'!$B$41))),((COLUMNS('Analysis Sheet'!$B$41:$B$41)-(OFFSET('Values Table'!AB2,0,0)))*LEN('Analysis Sheet'!$B$41))+1,LEN('Analysis Sheet'!$B$41))))</f>
        <v/>
      </c>
      <c r="Q41" s="49" t="str">
        <f ca="1">IF(NOT(ISBLANK($B$41)),TRIM(MID(SUBSTITUTE('Analysis Sheet'!$B$41,", ",REPT(" ",LEN('Analysis Sheet'!$B$41))),((COLUMNS('Analysis Sheet'!$B$41:$B$41)-(OFFSET('Values Table'!AC2,0,0)))*LEN('Analysis Sheet'!$B$41))+1,LEN('Analysis Sheet'!$B$41))))</f>
        <v/>
      </c>
      <c r="R41" s="49" t="str">
        <f ca="1">IF(NOT(ISBLANK($B$41)),TRIM(MID(SUBSTITUTE('Analysis Sheet'!$B$41,", ",REPT(" ",LEN('Analysis Sheet'!$B$41))),((COLUMNS('Analysis Sheet'!$B$41:$B$41)-(OFFSET('Values Table'!AD2,0,0)))*LEN('Analysis Sheet'!$B$41))+1,LEN('Analysis Sheet'!$B$41))))</f>
        <v/>
      </c>
      <c r="S41" s="49" t="str">
        <f ca="1">IF(NOT(ISBLANK($B$41)),TRIM(MID(SUBSTITUTE('Analysis Sheet'!$B$41,", ",REPT(" ",LEN('Analysis Sheet'!$B$41))),((COLUMNS('Analysis Sheet'!$B$41:$B$41)-(OFFSET('Values Table'!AE2,0,0)))*LEN('Analysis Sheet'!$B$41))+1,LEN('Analysis Sheet'!$B$41))))</f>
        <v/>
      </c>
      <c r="T41" s="49" t="str">
        <f ca="1">IF(NOT(ISBLANK($B$41)),TRIM(MID(SUBSTITUTE('Analysis Sheet'!$B$41,", ",REPT(" ",LEN('Analysis Sheet'!$B$41))),((COLUMNS('Analysis Sheet'!$B$41:$B$41)-(OFFSET('Values Table'!AF2,0,0)))*LEN('Analysis Sheet'!$B$41))+1,LEN('Analysis Sheet'!$B$41))))</f>
        <v/>
      </c>
      <c r="U41" s="49" t="str">
        <f ca="1">IF(NOT(ISBLANK($B$41)),TRIM(MID(SUBSTITUTE('Analysis Sheet'!$B$41,", ",REPT(" ",LEN('Analysis Sheet'!$B$41))),((COLUMNS('Analysis Sheet'!$B$41:$B$41)-(OFFSET('Values Table'!AG2,0,0)))*LEN('Analysis Sheet'!$B$41))+1,LEN('Analysis Sheet'!$B$41))))</f>
        <v/>
      </c>
      <c r="V41" s="49" t="str">
        <f ca="1">IF(NOT(ISBLANK($B$41)),TRIM(MID(SUBSTITUTE('Analysis Sheet'!$B$41,", ",REPT(" ",LEN('Analysis Sheet'!$B$41))),((COLUMNS('Analysis Sheet'!$B$41:$B$41)-(OFFSET('Values Table'!AH2,0,0)))*LEN('Analysis Sheet'!$B$41))+1,LEN('Analysis Sheet'!$B$41))))</f>
        <v/>
      </c>
      <c r="W41" s="42"/>
      <c r="X41" s="20" t="str">
        <f ca="1">UNIQUE($C$24:$V$43, 18)</f>
        <v/>
      </c>
      <c r="Y41" s="21" t="str">
        <f ca="1">IFERROR(VLOOKUP('Analysis Sheet'!X41,'Values Table'!$A$2:$B$42,2,FALSE), "0")</f>
        <v>0</v>
      </c>
    </row>
    <row r="42" spans="1:26" s="3" customFormat="1" x14ac:dyDescent="0.3">
      <c r="A42" s="3" t="str">
        <f>UStrip('User Ranking Form'!A42)</f>
        <v/>
      </c>
      <c r="B42" s="21" t="str">
        <f>IFERROR(MatchWords('Analysis Sheet'!A42, 'Values Table'!$A$2:$B$42)," ")</f>
        <v xml:space="preserve"> </v>
      </c>
      <c r="C42" s="60" t="str">
        <f ca="1">IF(NOT(ISBLANK($B$42)),TRIM(MID(SUBSTITUTE('Analysis Sheet'!$B$42,", ",REPT(" ",LEN('Analysis Sheet'!$B$42))),((COLUMNS('Analysis Sheet'!$B$42:$B$42)-(OFFSET('Values Table'!O2,0,0)))*LEN('Analysis Sheet'!$B$42))+1,LEN('Analysis Sheet'!$B$42))))</f>
        <v/>
      </c>
      <c r="D42" s="49" t="str">
        <f ca="1">IF(NOT(ISBLANK($B$42)),TRIM(MID(SUBSTITUTE('Analysis Sheet'!$B$42,", ",REPT(" ",LEN('Analysis Sheet'!$B$42))),((COLUMNS('Analysis Sheet'!$B$42:$B$42)-(OFFSET('Values Table'!P2,0,0)))*LEN('Analysis Sheet'!$B$42))+1,LEN('Analysis Sheet'!$B$42))))</f>
        <v/>
      </c>
      <c r="E42" s="49" t="str">
        <f ca="1">IF(NOT(ISBLANK($B$42)),TRIM(MID(SUBSTITUTE('Analysis Sheet'!$B$42,", ",REPT(" ",LEN('Analysis Sheet'!$B$42))),((COLUMNS('Analysis Sheet'!$B$42:$B$42)-(OFFSET('Values Table'!Q2,0,0)))*LEN('Analysis Sheet'!$B$42))+1,LEN('Analysis Sheet'!$B$42))))</f>
        <v/>
      </c>
      <c r="F42" s="49" t="str">
        <f ca="1">IF(NOT(ISBLANK($B$42)),TRIM(MID(SUBSTITUTE('Analysis Sheet'!$B$42,", ",REPT(" ",LEN('Analysis Sheet'!$B$42))),((COLUMNS('Analysis Sheet'!$B$42:$B$42)-(OFFSET('Values Table'!R2,0,0)))*LEN('Analysis Sheet'!$B$42))+1,LEN('Analysis Sheet'!$B$42))))</f>
        <v/>
      </c>
      <c r="G42" s="49" t="str">
        <f ca="1">IF(NOT(ISBLANK($B$42)),TRIM(MID(SUBSTITUTE('Analysis Sheet'!$B$42,", ",REPT(" ",LEN('Analysis Sheet'!$B$42))),((COLUMNS('Analysis Sheet'!$B$42:$B$42)-(OFFSET('Values Table'!S2,0,0)))*LEN('Analysis Sheet'!$B$42))+1,LEN('Analysis Sheet'!$B$42))))</f>
        <v/>
      </c>
      <c r="H42" s="49" t="str">
        <f ca="1">IF(NOT(ISBLANK($B$42)),TRIM(MID(SUBSTITUTE('Analysis Sheet'!$B$42,", ",REPT(" ",LEN('Analysis Sheet'!$B$42))),((COLUMNS('Analysis Sheet'!$B$42:$B$42)-(OFFSET('Values Table'!T2,0,0)))*LEN('Analysis Sheet'!$B$42))+1,LEN('Analysis Sheet'!$B$42))))</f>
        <v/>
      </c>
      <c r="I42" s="49" t="str">
        <f ca="1">IF(NOT(ISBLANK($B$42)),TRIM(MID(SUBSTITUTE('Analysis Sheet'!$B$42,", ",REPT(" ",LEN('Analysis Sheet'!$B$42))),((COLUMNS('Analysis Sheet'!$B$42:$B$42)-(OFFSET('Values Table'!U2,0,0)))*LEN('Analysis Sheet'!$B$42))+1,LEN('Analysis Sheet'!$B$42))))</f>
        <v/>
      </c>
      <c r="J42" s="49" t="str">
        <f ca="1">IF(NOT(ISBLANK($B$42)),TRIM(MID(SUBSTITUTE('Analysis Sheet'!$B$42,", ",REPT(" ",LEN('Analysis Sheet'!$B$42))),((COLUMNS('Analysis Sheet'!$B$42:$B$42)-(OFFSET('Values Table'!V2,0,0)))*LEN('Analysis Sheet'!$B$42))+1,LEN('Analysis Sheet'!$B$42))))</f>
        <v/>
      </c>
      <c r="K42" s="49" t="str">
        <f ca="1">IF(NOT(ISBLANK($B$42)),TRIM(MID(SUBSTITUTE('Analysis Sheet'!$B$42,", ",REPT(" ",LEN('Analysis Sheet'!$B$42))),((COLUMNS('Analysis Sheet'!$B$42:$B$42)-(OFFSET('Values Table'!W2,0,0)))*LEN('Analysis Sheet'!$B$42))+1,LEN('Analysis Sheet'!$B$42))))</f>
        <v/>
      </c>
      <c r="L42" s="49" t="str">
        <f ca="1">IF(NOT(ISBLANK($B$42)),TRIM(MID(SUBSTITUTE('Analysis Sheet'!$B$42,", ",REPT(" ",LEN('Analysis Sheet'!$B$42))),((COLUMNS('Analysis Sheet'!$B$42:$B$42)-(OFFSET('Values Table'!X2,0,0)))*LEN('Analysis Sheet'!$B$42))+1,LEN('Analysis Sheet'!$B$42))))</f>
        <v/>
      </c>
      <c r="M42" s="49" t="str">
        <f ca="1">IF(NOT(ISBLANK($B$42)),TRIM(MID(SUBSTITUTE('Analysis Sheet'!$B$42,", ",REPT(" ",LEN('Analysis Sheet'!$B$42))),((COLUMNS('Analysis Sheet'!$B$42:$B$42)-(OFFSET('Values Table'!Y2,0,0)))*LEN('Analysis Sheet'!$B$42))+1,LEN('Analysis Sheet'!$B$42))))</f>
        <v/>
      </c>
      <c r="N42" s="49" t="str">
        <f ca="1">IF(NOT(ISBLANK($B$42)),TRIM(MID(SUBSTITUTE('Analysis Sheet'!$B$42,", ",REPT(" ",LEN('Analysis Sheet'!$B$42))),((COLUMNS('Analysis Sheet'!$B$42:$B$42)-(OFFSET('Values Table'!Z2,0,0)))*LEN('Analysis Sheet'!$B$42))+1,LEN('Analysis Sheet'!$B$42))))</f>
        <v/>
      </c>
      <c r="O42" s="49" t="str">
        <f ca="1">IF(NOT(ISBLANK($B$42)),TRIM(MID(SUBSTITUTE('Analysis Sheet'!$B$42,", ",REPT(" ",LEN('Analysis Sheet'!$B$42))),((COLUMNS('Analysis Sheet'!$B$42:$B$42)-(OFFSET('Values Table'!AA2,0,0)))*LEN('Analysis Sheet'!$B$42))+1,LEN('Analysis Sheet'!$B$42))))</f>
        <v/>
      </c>
      <c r="P42" s="49" t="str">
        <f ca="1">IF(NOT(ISBLANK($B$42)),TRIM(MID(SUBSTITUTE('Analysis Sheet'!$B$42,", ",REPT(" ",LEN('Analysis Sheet'!$B$42))),((COLUMNS('Analysis Sheet'!$B$42:$B$42)-(OFFSET('Values Table'!AB2,0,0)))*LEN('Analysis Sheet'!$B$42))+1,LEN('Analysis Sheet'!$B$42))))</f>
        <v/>
      </c>
      <c r="Q42" s="49" t="str">
        <f ca="1">IF(NOT(ISBLANK($B$42)),TRIM(MID(SUBSTITUTE('Analysis Sheet'!$B$42,", ",REPT(" ",LEN('Analysis Sheet'!$B$42))),((COLUMNS('Analysis Sheet'!$B$42:$B$42)-(OFFSET('Values Table'!AC2,0,0)))*LEN('Analysis Sheet'!$B$42))+1,LEN('Analysis Sheet'!$B$42))))</f>
        <v/>
      </c>
      <c r="R42" s="49" t="str">
        <f ca="1">IF(NOT(ISBLANK($B$42)),TRIM(MID(SUBSTITUTE('Analysis Sheet'!$B$42,", ",REPT(" ",LEN('Analysis Sheet'!$B$42))),((COLUMNS('Analysis Sheet'!$B$42:$B$42)-(OFFSET('Values Table'!AD2,0,0)))*LEN('Analysis Sheet'!$B$42))+1,LEN('Analysis Sheet'!$B$42))))</f>
        <v/>
      </c>
      <c r="S42" s="49" t="str">
        <f ca="1">IF(NOT(ISBLANK($B$42)),TRIM(MID(SUBSTITUTE('Analysis Sheet'!$B$42,", ",REPT(" ",LEN('Analysis Sheet'!$B$42))),((COLUMNS('Analysis Sheet'!$B$42:$B$42)-(OFFSET('Values Table'!AE2,0,0)))*LEN('Analysis Sheet'!$B$42))+1,LEN('Analysis Sheet'!$B$42))))</f>
        <v/>
      </c>
      <c r="T42" s="49" t="str">
        <f ca="1">IF(NOT(ISBLANK($B$42)),TRIM(MID(SUBSTITUTE('Analysis Sheet'!$B$42,", ",REPT(" ",LEN('Analysis Sheet'!$B$42))),((COLUMNS('Analysis Sheet'!$B$42:$B$42)-(OFFSET('Values Table'!AF2,0,0)))*LEN('Analysis Sheet'!$B$42))+1,LEN('Analysis Sheet'!$B$42))))</f>
        <v/>
      </c>
      <c r="U42" s="49" t="str">
        <f ca="1">IF(NOT(ISBLANK($B$42)),TRIM(MID(SUBSTITUTE('Analysis Sheet'!$B$42,", ",REPT(" ",LEN('Analysis Sheet'!$B$42))),((COLUMNS('Analysis Sheet'!$B$42:$B$42)-(OFFSET('Values Table'!AG2,0,0)))*LEN('Analysis Sheet'!$B$42))+1,LEN('Analysis Sheet'!$B$42))))</f>
        <v/>
      </c>
      <c r="V42" s="49" t="str">
        <f ca="1">IF(NOT(ISBLANK($B$42)),TRIM(MID(SUBSTITUTE('Analysis Sheet'!$B$42,", ",REPT(" ",LEN('Analysis Sheet'!$B$42))),((COLUMNS('Analysis Sheet'!$B$42:$B$42)-(OFFSET('Values Table'!AH2,0,0)))*LEN('Analysis Sheet'!$B$42))+1,LEN('Analysis Sheet'!$B$42))))</f>
        <v/>
      </c>
      <c r="W42" s="42"/>
      <c r="X42" s="20" t="str">
        <f ca="1">UNIQUE($C$24:$V$43, 19)</f>
        <v/>
      </c>
      <c r="Y42" s="21" t="str">
        <f ca="1">IFERROR(VLOOKUP('Analysis Sheet'!X42,'Values Table'!$A$2:$B$42,2,FALSE), "0")</f>
        <v>0</v>
      </c>
    </row>
    <row r="43" spans="1:26" s="3" customFormat="1" x14ac:dyDescent="0.3">
      <c r="A43" s="22" t="str">
        <f>UStrip('User Ranking Form'!A43)</f>
        <v/>
      </c>
      <c r="B43" s="21" t="str">
        <f>IFERROR(MatchWords('Analysis Sheet'!A43, 'Values Table'!$A$2:$B$42)," ")</f>
        <v xml:space="preserve"> </v>
      </c>
      <c r="C43" s="52" t="str">
        <f ca="1">IF(NOT(ISBLANK($B$43)),TRIM(MID(SUBSTITUTE('Analysis Sheet'!$B$43,", ",REPT(" ",LEN('Analysis Sheet'!$B$43))),((COLUMNS('Analysis Sheet'!$B$43:$B$43)-(OFFSET('Values Table'!O2,0,0)))*LEN('Analysis Sheet'!$B$43))+1,LEN('Analysis Sheet'!$B$43))))</f>
        <v/>
      </c>
      <c r="D43" s="52" t="str">
        <f ca="1">IF(NOT(ISBLANK($B$43)),TRIM(MID(SUBSTITUTE('Analysis Sheet'!$B$43,", ",REPT(" ",LEN('Analysis Sheet'!$B$43))),((COLUMNS('Analysis Sheet'!$B$43:$B$43)-(OFFSET('Values Table'!P2,0,0)))*LEN('Analysis Sheet'!$B$43))+1,LEN('Analysis Sheet'!$B$43))))</f>
        <v/>
      </c>
      <c r="E43" s="52" t="str">
        <f ca="1">IF(NOT(ISBLANK($B$43)),TRIM(MID(SUBSTITUTE('Analysis Sheet'!$B$43,", ",REPT(" ",LEN('Analysis Sheet'!$B$43))),((COLUMNS('Analysis Sheet'!$B$43:$B$43)-(OFFSET('Values Table'!Q2,0,0)))*LEN('Analysis Sheet'!$B$43))+1,LEN('Analysis Sheet'!$B$43))))</f>
        <v/>
      </c>
      <c r="F43" s="52" t="str">
        <f ca="1">IF(NOT(ISBLANK($B$43)),TRIM(MID(SUBSTITUTE('Analysis Sheet'!$B$43,", ",REPT(" ",LEN('Analysis Sheet'!$B$43))),((COLUMNS('Analysis Sheet'!$B$43:$B$43)-(OFFSET('Values Table'!R2,0,0)))*LEN('Analysis Sheet'!$B$43))+1,LEN('Analysis Sheet'!$B$43))))</f>
        <v/>
      </c>
      <c r="G43" s="52" t="str">
        <f ca="1">IF(NOT(ISBLANK($B$43)),TRIM(MID(SUBSTITUTE('Analysis Sheet'!$B$43,", ",REPT(" ",LEN('Analysis Sheet'!$B$43))),((COLUMNS('Analysis Sheet'!$B$43:$B$43)-(OFFSET('Values Table'!S2,0,0)))*LEN('Analysis Sheet'!$B$43))+1,LEN('Analysis Sheet'!$B$43))))</f>
        <v/>
      </c>
      <c r="H43" s="52" t="str">
        <f ca="1">IF(NOT(ISBLANK($B$43)),TRIM(MID(SUBSTITUTE('Analysis Sheet'!$B$43,", ",REPT(" ",LEN('Analysis Sheet'!$B$43))),((COLUMNS('Analysis Sheet'!$B$43:$B$43)-(OFFSET('Values Table'!T2,0,0)))*LEN('Analysis Sheet'!$B$43))+1,LEN('Analysis Sheet'!$B$43))))</f>
        <v/>
      </c>
      <c r="I43" s="52" t="str">
        <f ca="1">IF(NOT(ISBLANK($B$43)),TRIM(MID(SUBSTITUTE('Analysis Sheet'!$B$43,", ",REPT(" ",LEN('Analysis Sheet'!$B$43))),((COLUMNS('Analysis Sheet'!$B$43:$B$43)-(OFFSET('Values Table'!U2,0,0)))*LEN('Analysis Sheet'!$B$43))+1,LEN('Analysis Sheet'!$B$43))))</f>
        <v/>
      </c>
      <c r="J43" s="52" t="str">
        <f ca="1">IF(NOT(ISBLANK($B$43)),TRIM(MID(SUBSTITUTE('Analysis Sheet'!$B$43,", ",REPT(" ",LEN('Analysis Sheet'!$B$43))),((COLUMNS('Analysis Sheet'!$B$43:$B$43)-(OFFSET('Values Table'!V2,0,0)))*LEN('Analysis Sheet'!$B$43))+1,LEN('Analysis Sheet'!$B$43))))</f>
        <v/>
      </c>
      <c r="K43" s="52" t="str">
        <f ca="1">IF(NOT(ISBLANK($B$43)),TRIM(MID(SUBSTITUTE('Analysis Sheet'!$B$43,", ",REPT(" ",LEN('Analysis Sheet'!$B$43))),((COLUMNS('Analysis Sheet'!$B$43:$B$43)-(OFFSET('Values Table'!W2,0,0)))*LEN('Analysis Sheet'!$B$43))+1,LEN('Analysis Sheet'!$B$43))))</f>
        <v/>
      </c>
      <c r="L43" s="52" t="str">
        <f ca="1">IF(NOT(ISBLANK($B$43)),TRIM(MID(SUBSTITUTE('Analysis Sheet'!$B$43,", ",REPT(" ",LEN('Analysis Sheet'!$B$43))),((COLUMNS('Analysis Sheet'!$B$43:$B$43)-(OFFSET('Values Table'!X2,0,0)))*LEN('Analysis Sheet'!$B$43))+1,LEN('Analysis Sheet'!$B$43))))</f>
        <v/>
      </c>
      <c r="M43" s="52" t="str">
        <f ca="1">IF(NOT(ISBLANK($B$43)),TRIM(MID(SUBSTITUTE('Analysis Sheet'!$B$43,", ",REPT(" ",LEN('Analysis Sheet'!$B$43))),((COLUMNS('Analysis Sheet'!$B$43:$B$43)-(OFFSET('Values Table'!Y2,0,0)))*LEN('Analysis Sheet'!$B$43))+1,LEN('Analysis Sheet'!$B$43))))</f>
        <v/>
      </c>
      <c r="N43" s="52" t="str">
        <f ca="1">IF(NOT(ISBLANK($B$43)),TRIM(MID(SUBSTITUTE('Analysis Sheet'!$B$43,", ",REPT(" ",LEN('Analysis Sheet'!$B$43))),((COLUMNS('Analysis Sheet'!$B$43:$B$43)-(OFFSET('Values Table'!Z2,0,0)))*LEN('Analysis Sheet'!$B$43))+1,LEN('Analysis Sheet'!$B$43))))</f>
        <v/>
      </c>
      <c r="O43" s="52" t="str">
        <f ca="1">IF(NOT(ISBLANK($B$43)),TRIM(MID(SUBSTITUTE('Analysis Sheet'!$B$43,", ",REPT(" ",LEN('Analysis Sheet'!$B$43))),((COLUMNS('Analysis Sheet'!$B$43:$B$43)-(OFFSET('Values Table'!AA2,0,0)))*LEN('Analysis Sheet'!$B$43))+1,LEN('Analysis Sheet'!$B$43))))</f>
        <v/>
      </c>
      <c r="P43" s="52" t="str">
        <f ca="1">IF(NOT(ISBLANK($B$43)),TRIM(MID(SUBSTITUTE('Analysis Sheet'!$B$43,", ",REPT(" ",LEN('Analysis Sheet'!$B$43))),((COLUMNS('Analysis Sheet'!$B$43:$B$43)-(OFFSET('Values Table'!AB2,0,0)))*LEN('Analysis Sheet'!$B$43))+1,LEN('Analysis Sheet'!$B$43))))</f>
        <v/>
      </c>
      <c r="Q43" s="52" t="str">
        <f ca="1">IF(NOT(ISBLANK($B$43)),TRIM(MID(SUBSTITUTE('Analysis Sheet'!$B$43,", ",REPT(" ",LEN('Analysis Sheet'!$B$43))),((COLUMNS('Analysis Sheet'!$B$43:$B$43)-(OFFSET('Values Table'!AC2,0,0)))*LEN('Analysis Sheet'!$B$43))+1,LEN('Analysis Sheet'!$B$43))))</f>
        <v/>
      </c>
      <c r="R43" s="52" t="str">
        <f ca="1">IF(NOT(ISBLANK($B$43)),TRIM(MID(SUBSTITUTE('Analysis Sheet'!$B$43,", ",REPT(" ",LEN('Analysis Sheet'!$B$43))),((COLUMNS('Analysis Sheet'!$B$43:$B$43)-(OFFSET('Values Table'!AD2,0,0)))*LEN('Analysis Sheet'!$B$43))+1,LEN('Analysis Sheet'!$B$43))))</f>
        <v/>
      </c>
      <c r="S43" s="52" t="str">
        <f ca="1">IF(NOT(ISBLANK($B$43)),TRIM(MID(SUBSTITUTE('Analysis Sheet'!$B$43,", ",REPT(" ",LEN('Analysis Sheet'!$B$43))),((COLUMNS('Analysis Sheet'!$B$43:$B$43)-(OFFSET('Values Table'!AE2,0,0)))*LEN('Analysis Sheet'!$B$43))+1,LEN('Analysis Sheet'!$B$43))))</f>
        <v/>
      </c>
      <c r="T43" s="52" t="str">
        <f ca="1">IF(NOT(ISBLANK($B$43)),TRIM(MID(SUBSTITUTE('Analysis Sheet'!$B$43,", ",REPT(" ",LEN('Analysis Sheet'!$B$43))),((COLUMNS('Analysis Sheet'!$B$43:$B$43)-(OFFSET('Values Table'!AF2,0,0)))*LEN('Analysis Sheet'!$B$43))+1,LEN('Analysis Sheet'!$B$43))))</f>
        <v/>
      </c>
      <c r="U43" s="52" t="str">
        <f ca="1">IF(NOT(ISBLANK($B$43)),TRIM(MID(SUBSTITUTE('Analysis Sheet'!$B$43,", ",REPT(" ",LEN('Analysis Sheet'!$B$43))),((COLUMNS('Analysis Sheet'!$B$43:$B$43)-(OFFSET('Values Table'!AG2,0,0)))*LEN('Analysis Sheet'!$B$43))+1,LEN('Analysis Sheet'!$B$43))))</f>
        <v/>
      </c>
      <c r="V43" s="52" t="str">
        <f ca="1">IF(NOT(ISBLANK($B$43)),TRIM(MID(SUBSTITUTE('Analysis Sheet'!$B$43,", ",REPT(" ",LEN('Analysis Sheet'!$B$43))),((COLUMNS('Analysis Sheet'!$B$43:$B$43)-(OFFSET('Values Table'!AH2,0,0)))*LEN('Analysis Sheet'!$B$43))+1,LEN('Analysis Sheet'!$B$43))))</f>
        <v/>
      </c>
      <c r="W43" s="43"/>
      <c r="X43" s="53" t="str">
        <f ca="1">UNIQUE($C$24:$V$43, 20)</f>
        <v/>
      </c>
      <c r="Y43" s="22" t="str">
        <f ca="1">IFERROR(VLOOKUP('Analysis Sheet'!X43,'Values Table'!$A$2:$B$42,2,FALSE), "0")</f>
        <v>0</v>
      </c>
    </row>
    <row r="44" spans="1:26" s="23" customFormat="1" x14ac:dyDescent="0.3">
      <c r="A44" s="21" t="str">
        <f>UStrip('User Ranking Form'!A45)</f>
        <v xml:space="preserve">OUR INNOVATION LIES IN TWO AREAS IN THE COMMUNITY DESIGN AND IN THE SUSTAINABLE SCALABLE MODEL  </v>
      </c>
      <c r="B44" s="21" t="str">
        <f>IFERROR(MatchWords('Analysis Sheet'!A44, 'Values Table'!$A$2:$B$42)," ")</f>
        <v>INNOVATION</v>
      </c>
      <c r="C44" s="49" t="str">
        <f ca="1">IF(NOT(ISBLANK($B$44)),TRIM(MID(SUBSTITUTE('Analysis Sheet'!$B$44,", ",REPT(" ",LEN('Analysis Sheet'!$B$44))),((COLUMNS('Analysis Sheet'!$B$44:$B$44)-(OFFSET('Values Table'!O2,0,0)))*LEN('Analysis Sheet'!$B$44))+1,LEN('Analysis Sheet'!$B$44))))</f>
        <v>INNOVATION</v>
      </c>
      <c r="D44" s="49" t="str">
        <f ca="1">IF(NOT(ISBLANK($B$44)),TRIM(MID(SUBSTITUTE('Analysis Sheet'!$B$44,", ",REPT(" ",LEN('Analysis Sheet'!$B$44))),((COLUMNS('Analysis Sheet'!$B$44:$B$44)-(OFFSET('Values Table'!P2,0,0)))*LEN('Analysis Sheet'!$B$44))+1,LEN('Analysis Sheet'!$B$44))))</f>
        <v/>
      </c>
      <c r="E44" s="49" t="str">
        <f ca="1">IF(NOT(ISBLANK($B$44)),TRIM(MID(SUBSTITUTE('Analysis Sheet'!$B$44,", ",REPT(" ",LEN('Analysis Sheet'!$B$44))),((COLUMNS('Analysis Sheet'!$B$44:$B$44)-(OFFSET('Values Table'!Q2,0,0)))*LEN('Analysis Sheet'!$B$44))+1,LEN('Analysis Sheet'!$B$44))))</f>
        <v/>
      </c>
      <c r="F44" s="49" t="str">
        <f ca="1">IF(NOT(ISBLANK($B$44)),TRIM(MID(SUBSTITUTE('Analysis Sheet'!$B$44,", ",REPT(" ",LEN('Analysis Sheet'!$B$44))),((COLUMNS('Analysis Sheet'!$B$44:$B$44)-(OFFSET('Values Table'!R2,0,0)))*LEN('Analysis Sheet'!$B$44))+1,LEN('Analysis Sheet'!$B$44))))</f>
        <v/>
      </c>
      <c r="G44" s="49" t="str">
        <f ca="1">IF(NOT(ISBLANK($B$44)),TRIM(MID(SUBSTITUTE('Analysis Sheet'!$B$44,", ",REPT(" ",LEN('Analysis Sheet'!$B$44))),((COLUMNS('Analysis Sheet'!$B$44:$B$44)-(OFFSET('Values Table'!S2,0,0)))*LEN('Analysis Sheet'!$B$44))+1,LEN('Analysis Sheet'!$B$44))))</f>
        <v/>
      </c>
      <c r="H44" s="49" t="str">
        <f ca="1">IF(NOT(ISBLANK($B$44)),TRIM(MID(SUBSTITUTE('Analysis Sheet'!$B$44,", ",REPT(" ",LEN('Analysis Sheet'!$B$44))),((COLUMNS('Analysis Sheet'!$B$44:$B$44)-(OFFSET('Values Table'!T2,0,0)))*LEN('Analysis Sheet'!$B$44))+1,LEN('Analysis Sheet'!$B$44))))</f>
        <v/>
      </c>
      <c r="I44" s="49" t="str">
        <f ca="1">IF(NOT(ISBLANK($B$44)),TRIM(MID(SUBSTITUTE('Analysis Sheet'!$B$44,", ",REPT(" ",LEN('Analysis Sheet'!$B$44))),((COLUMNS('Analysis Sheet'!$B$44:$B$44)-(OFFSET('Values Table'!U2,0,0)))*LEN('Analysis Sheet'!$B$44))+1,LEN('Analysis Sheet'!$B$44))))</f>
        <v/>
      </c>
      <c r="J44" s="49" t="str">
        <f ca="1">IF(NOT(ISBLANK($B$44)),TRIM(MID(SUBSTITUTE('Analysis Sheet'!$B$44,", ",REPT(" ",LEN('Analysis Sheet'!$B$44))),((COLUMNS('Analysis Sheet'!$B$44:$B$44)-(OFFSET('Values Table'!V2,0,0)))*LEN('Analysis Sheet'!$B$44))+1,LEN('Analysis Sheet'!$B$44))))</f>
        <v/>
      </c>
      <c r="K44" s="49" t="str">
        <f ca="1">IF(NOT(ISBLANK($B$44)),TRIM(MID(SUBSTITUTE('Analysis Sheet'!$B$44,", ",REPT(" ",LEN('Analysis Sheet'!$B$44))),((COLUMNS('Analysis Sheet'!$B$44:$B$44)-(OFFSET('Values Table'!W2,0,0)))*LEN('Analysis Sheet'!$B$44))+1,LEN('Analysis Sheet'!$B$44))))</f>
        <v/>
      </c>
      <c r="L44" s="49" t="str">
        <f ca="1">IF(NOT(ISBLANK($B$44)),TRIM(MID(SUBSTITUTE('Analysis Sheet'!$B$44,", ",REPT(" ",LEN('Analysis Sheet'!$B$44))),((COLUMNS('Analysis Sheet'!$B$44:$B$44)-(OFFSET('Values Table'!X2,0,0)))*LEN('Analysis Sheet'!$B$44))+1,LEN('Analysis Sheet'!$B$44))))</f>
        <v/>
      </c>
      <c r="M44" s="49" t="str">
        <f ca="1">IF(NOT(ISBLANK($B$44)),TRIM(MID(SUBSTITUTE('Analysis Sheet'!$B$44,", ",REPT(" ",LEN('Analysis Sheet'!$B$44))),((COLUMNS('Analysis Sheet'!$B$44:$B$44)-(OFFSET('Values Table'!Y2,0,0)))*LEN('Analysis Sheet'!$B$44))+1,LEN('Analysis Sheet'!$B$44))))</f>
        <v/>
      </c>
      <c r="N44" s="49" t="str">
        <f ca="1">IF(NOT(ISBLANK($B$44)),TRIM(MID(SUBSTITUTE('Analysis Sheet'!$B$44,", ",REPT(" ",LEN('Analysis Sheet'!$B$44))),((COLUMNS('Analysis Sheet'!$B$44:$B$44)-(OFFSET('Values Table'!Z2,0,0)))*LEN('Analysis Sheet'!$B$44))+1,LEN('Analysis Sheet'!$B$44))))</f>
        <v/>
      </c>
      <c r="O44" s="49" t="str">
        <f ca="1">IF(NOT(ISBLANK($B$44)),TRIM(MID(SUBSTITUTE('Analysis Sheet'!$B$44,", ",REPT(" ",LEN('Analysis Sheet'!$B$44))),((COLUMNS('Analysis Sheet'!$B$44:$B$44)-(OFFSET('Values Table'!AA2,0,0)))*LEN('Analysis Sheet'!$B$44))+1,LEN('Analysis Sheet'!$B$44))))</f>
        <v/>
      </c>
      <c r="P44" s="49" t="str">
        <f ca="1">IF(NOT(ISBLANK($B$44)),TRIM(MID(SUBSTITUTE('Analysis Sheet'!$B$44,", ",REPT(" ",LEN('Analysis Sheet'!$B$44))),((COLUMNS('Analysis Sheet'!$B$44:$B$44)-(OFFSET('Values Table'!AB2,0,0)))*LEN('Analysis Sheet'!$B$44))+1,LEN('Analysis Sheet'!$B$44))))</f>
        <v/>
      </c>
      <c r="Q44" s="49" t="str">
        <f ca="1">IF(NOT(ISBLANK($B$44)),TRIM(MID(SUBSTITUTE('Analysis Sheet'!$B$44,", ",REPT(" ",LEN('Analysis Sheet'!$B$44))),((COLUMNS('Analysis Sheet'!$B$44:$B$44)-(OFFSET('Values Table'!AC2,0,0)))*LEN('Analysis Sheet'!$B$44))+1,LEN('Analysis Sheet'!$B$44))))</f>
        <v/>
      </c>
      <c r="R44" s="49" t="str">
        <f ca="1">IF(NOT(ISBLANK($B$44)),TRIM(MID(SUBSTITUTE('Analysis Sheet'!$B$44,", ",REPT(" ",LEN('Analysis Sheet'!$B$44))),((COLUMNS('Analysis Sheet'!$B$44:$B$44)-(OFFSET('Values Table'!AD2,0,0)))*LEN('Analysis Sheet'!$B$44))+1,LEN('Analysis Sheet'!$B$44))))</f>
        <v/>
      </c>
      <c r="S44" s="49" t="str">
        <f ca="1">IF(NOT(ISBLANK($B$44)),TRIM(MID(SUBSTITUTE('Analysis Sheet'!$B$44,", ",REPT(" ",LEN('Analysis Sheet'!$B$44))),((COLUMNS('Analysis Sheet'!$B$44:$B$44)-(OFFSET('Values Table'!AE2,0,0)))*LEN('Analysis Sheet'!$B$44))+1,LEN('Analysis Sheet'!$B$44))))</f>
        <v/>
      </c>
      <c r="T44" s="49" t="str">
        <f ca="1">IF(NOT(ISBLANK($B$44)),TRIM(MID(SUBSTITUTE('Analysis Sheet'!$B$44,", ",REPT(" ",LEN('Analysis Sheet'!$B$44))),((COLUMNS('Analysis Sheet'!$B$44:$B$44)-(OFFSET('Values Table'!AF2,0,0)))*LEN('Analysis Sheet'!$B$44))+1,LEN('Analysis Sheet'!$B$44))))</f>
        <v/>
      </c>
      <c r="U44" s="49" t="str">
        <f ca="1">IF(NOT(ISBLANK($B$44)),TRIM(MID(SUBSTITUTE('Analysis Sheet'!$B$44,", ",REPT(" ",LEN('Analysis Sheet'!$B$44))),((COLUMNS('Analysis Sheet'!$B$44:$B$44)-(OFFSET('Values Table'!AG2,0,0)))*LEN('Analysis Sheet'!$B$44))+1,LEN('Analysis Sheet'!$B$44))))</f>
        <v/>
      </c>
      <c r="V44" s="49" t="str">
        <f ca="1">IF(NOT(ISBLANK($B$44)),TRIM(MID(SUBSTITUTE('Analysis Sheet'!$B$44,", ",REPT(" ",LEN('Analysis Sheet'!$B$44))),((COLUMNS('Analysis Sheet'!$B$44:$B$44)-(OFFSET('Values Table'!AH2,0,0)))*LEN('Analysis Sheet'!$B$44))+1,LEN('Analysis Sheet'!$B$44))))</f>
        <v/>
      </c>
      <c r="W44" s="42"/>
      <c r="X44" s="20" t="str">
        <f ca="1">UNIQUE($C$44:$V$63, 1)</f>
        <v>INNOVATION</v>
      </c>
      <c r="Y44" s="21">
        <f ca="1">IFERROR(VLOOKUP('Analysis Sheet'!X44,'Values Table'!$A$2:$B$42,2,FALSE), "0")</f>
        <v>4</v>
      </c>
      <c r="Z44" s="23">
        <f ca="1">SUM('Analysis Sheet'!Y44:Y63)</f>
        <v>9</v>
      </c>
    </row>
    <row r="45" spans="1:26" s="3" customFormat="1" x14ac:dyDescent="0.3">
      <c r="A45" s="21" t="str">
        <f>UStrip('User Ranking Form'!A46)</f>
        <v xml:space="preserve">OUR COMMUNITY IS BASED ON A GREEN CHARTER THAT CULTIVATES ENVIRONMENTAL AWARENESS AND SUSTAINABLE LIVING </v>
      </c>
      <c r="B45" s="21" t="str">
        <f>IFERROR(MatchWords('Analysis Sheet'!A45, 'Values Table'!$A$2:$B$42)," ")</f>
        <v xml:space="preserve"> </v>
      </c>
      <c r="C45" s="49" t="str">
        <f ca="1">IF(NOT(ISBLANK($B$45)),TRIM(MID(SUBSTITUTE('Analysis Sheet'!$B$45,", ",REPT(" ",LEN('Analysis Sheet'!$B$45))),((COLUMNS('Analysis Sheet'!$B$45:$B$45)-(OFFSET('Values Table'!O2,0,0)))*LEN('Analysis Sheet'!$B$45))+1,LEN('Analysis Sheet'!$B$45))))</f>
        <v/>
      </c>
      <c r="D45" s="49" t="str">
        <f ca="1">IF(NOT(ISBLANK($B$45)),TRIM(MID(SUBSTITUTE('Analysis Sheet'!$B$45,", ",REPT(" ",LEN('Analysis Sheet'!$B$45))),((COLUMNS('Analysis Sheet'!$B$45:$B$45)-(OFFSET('Values Table'!P2,0,0)))*LEN('Analysis Sheet'!$B$45))+1,LEN('Analysis Sheet'!$B$45))))</f>
        <v/>
      </c>
      <c r="E45" s="49" t="str">
        <f ca="1">IF(NOT(ISBLANK($B$45)),TRIM(MID(SUBSTITUTE('Analysis Sheet'!$B$45,", ",REPT(" ",LEN('Analysis Sheet'!$B$45))),((COLUMNS('Analysis Sheet'!$B$45:$B$45)-(OFFSET('Values Table'!Q2,0,0)))*LEN('Analysis Sheet'!$B$45))+1,LEN('Analysis Sheet'!$B$45))))</f>
        <v/>
      </c>
      <c r="F45" s="49" t="str">
        <f ca="1">IF(NOT(ISBLANK($B$45)),TRIM(MID(SUBSTITUTE('Analysis Sheet'!$B$45,", ",REPT(" ",LEN('Analysis Sheet'!$B$45))),((COLUMNS('Analysis Sheet'!$B$45:$B$45)-(OFFSET('Values Table'!R2,0,0)))*LEN('Analysis Sheet'!$B$45))+1,LEN('Analysis Sheet'!$B$45))))</f>
        <v/>
      </c>
      <c r="G45" s="49" t="str">
        <f ca="1">IF(NOT(ISBLANK($B$45)),TRIM(MID(SUBSTITUTE('Analysis Sheet'!$B$45,", ",REPT(" ",LEN('Analysis Sheet'!$B$45))),((COLUMNS('Analysis Sheet'!$B$45:$B$45)-(OFFSET('Values Table'!S2,0,0)))*LEN('Analysis Sheet'!$B$45))+1,LEN('Analysis Sheet'!$B$45))))</f>
        <v/>
      </c>
      <c r="H45" s="49" t="str">
        <f ca="1">IF(NOT(ISBLANK($B$45)),TRIM(MID(SUBSTITUTE('Analysis Sheet'!$B$45,", ",REPT(" ",LEN('Analysis Sheet'!$B$45))),((COLUMNS('Analysis Sheet'!$B$45:$B$45)-(OFFSET('Values Table'!T2,0,0)))*LEN('Analysis Sheet'!$B$45))+1,LEN('Analysis Sheet'!$B$45))))</f>
        <v/>
      </c>
      <c r="I45" s="49" t="str">
        <f ca="1">IF(NOT(ISBLANK($B$45)),TRIM(MID(SUBSTITUTE('Analysis Sheet'!$B$45,", ",REPT(" ",LEN('Analysis Sheet'!$B$45))),((COLUMNS('Analysis Sheet'!$B$45:$B$45)-(OFFSET('Values Table'!U2,0,0)))*LEN('Analysis Sheet'!$B$45))+1,LEN('Analysis Sheet'!$B$45))))</f>
        <v/>
      </c>
      <c r="J45" s="49" t="str">
        <f ca="1">IF(NOT(ISBLANK($B$45)),TRIM(MID(SUBSTITUTE('Analysis Sheet'!$B$45,", ",REPT(" ",LEN('Analysis Sheet'!$B$45))),((COLUMNS('Analysis Sheet'!$B$45:$B$45)-(OFFSET('Values Table'!V2,0,0)))*LEN('Analysis Sheet'!$B$45))+1,LEN('Analysis Sheet'!$B$45))))</f>
        <v/>
      </c>
      <c r="K45" s="49" t="str">
        <f ca="1">IF(NOT(ISBLANK($B$45)),TRIM(MID(SUBSTITUTE('Analysis Sheet'!$B$45,", ",REPT(" ",LEN('Analysis Sheet'!$B$45))),((COLUMNS('Analysis Sheet'!$B$45:$B$45)-(OFFSET('Values Table'!W2,0,0)))*LEN('Analysis Sheet'!$B$45))+1,LEN('Analysis Sheet'!$B$45))))</f>
        <v/>
      </c>
      <c r="L45" s="49" t="str">
        <f ca="1">IF(NOT(ISBLANK($B$45)),TRIM(MID(SUBSTITUTE('Analysis Sheet'!$B$45,", ",REPT(" ",LEN('Analysis Sheet'!$B$45))),((COLUMNS('Analysis Sheet'!$B$45:$B$45)-(OFFSET('Values Table'!X2,0,0)))*LEN('Analysis Sheet'!$B$45))+1,LEN('Analysis Sheet'!$B$45))))</f>
        <v/>
      </c>
      <c r="M45" s="49" t="str">
        <f ca="1">IF(NOT(ISBLANK($B$45)),TRIM(MID(SUBSTITUTE('Analysis Sheet'!$B$45,", ",REPT(" ",LEN('Analysis Sheet'!$B$45))),((COLUMNS('Analysis Sheet'!$B$45:$B$45)-(OFFSET('Values Table'!Y2,0,0)))*LEN('Analysis Sheet'!$B$45))+1,LEN('Analysis Sheet'!$B$45))))</f>
        <v/>
      </c>
      <c r="N45" s="49" t="str">
        <f ca="1">IF(NOT(ISBLANK($B$45)),TRIM(MID(SUBSTITUTE('Analysis Sheet'!$B$45,", ",REPT(" ",LEN('Analysis Sheet'!$B$45))),((COLUMNS('Analysis Sheet'!$B$45:$B$45)-(OFFSET('Values Table'!Z2,0,0)))*LEN('Analysis Sheet'!$B$45))+1,LEN('Analysis Sheet'!$B$45))))</f>
        <v/>
      </c>
      <c r="O45" s="49" t="str">
        <f ca="1">IF(NOT(ISBLANK($B$45)),TRIM(MID(SUBSTITUTE('Analysis Sheet'!$B$45,", ",REPT(" ",LEN('Analysis Sheet'!$B$45))),((COLUMNS('Analysis Sheet'!$B$45:$B$45)-(OFFSET('Values Table'!AA2,0,0)))*LEN('Analysis Sheet'!$B$45))+1,LEN('Analysis Sheet'!$B$45))))</f>
        <v/>
      </c>
      <c r="P45" s="49" t="str">
        <f ca="1">IF(NOT(ISBLANK($B$45)),TRIM(MID(SUBSTITUTE('Analysis Sheet'!$B$45,", ",REPT(" ",LEN('Analysis Sheet'!$B$45))),((COLUMNS('Analysis Sheet'!$B$45:$B$45)-(OFFSET('Values Table'!AB2,0,0)))*LEN('Analysis Sheet'!$B$45))+1,LEN('Analysis Sheet'!$B$45))))</f>
        <v/>
      </c>
      <c r="Q45" s="49" t="str">
        <f ca="1">IF(NOT(ISBLANK($B$45)),TRIM(MID(SUBSTITUTE('Analysis Sheet'!$B$45,", ",REPT(" ",LEN('Analysis Sheet'!$B$45))),((COLUMNS('Analysis Sheet'!$B$45:$B$45)-(OFFSET('Values Table'!AC2,0,0)))*LEN('Analysis Sheet'!$B$45))+1,LEN('Analysis Sheet'!$B$45))))</f>
        <v/>
      </c>
      <c r="R45" s="49" t="str">
        <f ca="1">IF(NOT(ISBLANK($B$45)),TRIM(MID(SUBSTITUTE('Analysis Sheet'!$B$45,", ",REPT(" ",LEN('Analysis Sheet'!$B$45))),((COLUMNS('Analysis Sheet'!$B$45:$B$45)-(OFFSET('Values Table'!AD2,0,0)))*LEN('Analysis Sheet'!$B$45))+1,LEN('Analysis Sheet'!$B$45))))</f>
        <v/>
      </c>
      <c r="S45" s="49" t="str">
        <f ca="1">IF(NOT(ISBLANK($B$45)),TRIM(MID(SUBSTITUTE('Analysis Sheet'!$B$45,", ",REPT(" ",LEN('Analysis Sheet'!$B$45))),((COLUMNS('Analysis Sheet'!$B$45:$B$45)-(OFFSET('Values Table'!AE2,0,0)))*LEN('Analysis Sheet'!$B$45))+1,LEN('Analysis Sheet'!$B$45))))</f>
        <v/>
      </c>
      <c r="T45" s="49" t="str">
        <f ca="1">IF(NOT(ISBLANK($B$45)),TRIM(MID(SUBSTITUTE('Analysis Sheet'!$B$45,", ",REPT(" ",LEN('Analysis Sheet'!$B$45))),((COLUMNS('Analysis Sheet'!$B$45:$B$45)-(OFFSET('Values Table'!AF2,0,0)))*LEN('Analysis Sheet'!$B$45))+1,LEN('Analysis Sheet'!$B$45))))</f>
        <v/>
      </c>
      <c r="U45" s="49" t="str">
        <f ca="1">IF(NOT(ISBLANK($B$45)),TRIM(MID(SUBSTITUTE('Analysis Sheet'!$B$45,", ",REPT(" ",LEN('Analysis Sheet'!$B$45))),((COLUMNS('Analysis Sheet'!$B$45:$B$45)-(OFFSET('Values Table'!AG2,0,0)))*LEN('Analysis Sheet'!$B$45))+1,LEN('Analysis Sheet'!$B$45))))</f>
        <v/>
      </c>
      <c r="V45" s="49" t="str">
        <f ca="1">IF(NOT(ISBLANK($B$45)),TRIM(MID(SUBSTITUTE('Analysis Sheet'!$B$45,", ",REPT(" ",LEN('Analysis Sheet'!$B$45))),((COLUMNS('Analysis Sheet'!$B$45:$B$45)-(OFFSET('Values Table'!AH2,0,0)))*LEN('Analysis Sheet'!$B$45))+1,LEN('Analysis Sheet'!$B$45))))</f>
        <v/>
      </c>
      <c r="W45" s="42"/>
      <c r="X45" s="20" t="str">
        <f ca="1">UNIQUE($C$44:$V$63, 2)</f>
        <v/>
      </c>
      <c r="Y45" s="21" t="str">
        <f ca="1">IFERROR(VLOOKUP('Analysis Sheet'!X45,'Values Table'!$A$2:$B$42,2,FALSE), "0")</f>
        <v>0</v>
      </c>
    </row>
    <row r="46" spans="1:26" s="3" customFormat="1" x14ac:dyDescent="0.3">
      <c r="A46" s="21" t="str">
        <f>UStrip('User Ranking Form'!A47)</f>
        <v xml:space="preserve">EACH HOME WILL USE MINIMAL RESOURCES AND WILL BE HIGHLY EFFICIENT IN ENERGY CONSUMPTION </v>
      </c>
      <c r="B46" s="21" t="str">
        <f>IFERROR(MatchWords('Analysis Sheet'!A46, 'Values Table'!$A$2:$B$42)," ")</f>
        <v xml:space="preserve"> </v>
      </c>
      <c r="C46" s="49" t="str">
        <f ca="1">IF(NOT(ISBLANK($B$46)),TRIM(MID(SUBSTITUTE('Analysis Sheet'!$B$46,", ",REPT(" ",LEN('Analysis Sheet'!$B$46))),((COLUMNS('Analysis Sheet'!$B$46:$B$46)-(OFFSET('Values Table'!O2,0,0)))*LEN('Analysis Sheet'!$B$46))+1,LEN('Analysis Sheet'!$B$46))))</f>
        <v/>
      </c>
      <c r="D46" s="49" t="str">
        <f ca="1">IF(NOT(ISBLANK($B$46)),TRIM(MID(SUBSTITUTE('Analysis Sheet'!$B$46,", ",REPT(" ",LEN('Analysis Sheet'!$B$46))),((COLUMNS('Analysis Sheet'!$B$46:$B$46)-(OFFSET('Values Table'!P2,0,0)))*LEN('Analysis Sheet'!$B$46))+1,LEN('Analysis Sheet'!$B$46))))</f>
        <v/>
      </c>
      <c r="E46" s="49" t="str">
        <f ca="1">IF(NOT(ISBLANK($B$46)),TRIM(MID(SUBSTITUTE('Analysis Sheet'!$B$46,", ",REPT(" ",LEN('Analysis Sheet'!$B$46))),((COLUMNS('Analysis Sheet'!$B$46:$B$46)-(OFFSET('Values Table'!Q2,0,0)))*LEN('Analysis Sheet'!$B$46))+1,LEN('Analysis Sheet'!$B$46))))</f>
        <v/>
      </c>
      <c r="F46" s="49" t="str">
        <f ca="1">IF(NOT(ISBLANK($B$46)),TRIM(MID(SUBSTITUTE('Analysis Sheet'!$B$46,", ",REPT(" ",LEN('Analysis Sheet'!$B$46))),((COLUMNS('Analysis Sheet'!$B$46:$B$46)-(OFFSET('Values Table'!R2,0,0)))*LEN('Analysis Sheet'!$B$46))+1,LEN('Analysis Sheet'!$B$46))))</f>
        <v/>
      </c>
      <c r="G46" s="49" t="str">
        <f ca="1">IF(NOT(ISBLANK($B$46)),TRIM(MID(SUBSTITUTE('Analysis Sheet'!$B$46,", ",REPT(" ",LEN('Analysis Sheet'!$B$46))),((COLUMNS('Analysis Sheet'!$B$46:$B$46)-(OFFSET('Values Table'!S2,0,0)))*LEN('Analysis Sheet'!$B$46))+1,LEN('Analysis Sheet'!$B$46))))</f>
        <v/>
      </c>
      <c r="H46" s="49" t="str">
        <f ca="1">IF(NOT(ISBLANK($B$46)),TRIM(MID(SUBSTITUTE('Analysis Sheet'!$B$46,", ",REPT(" ",LEN('Analysis Sheet'!$B$46))),((COLUMNS('Analysis Sheet'!$B$46:$B$46)-(OFFSET('Values Table'!T2,0,0)))*LEN('Analysis Sheet'!$B$46))+1,LEN('Analysis Sheet'!$B$46))))</f>
        <v/>
      </c>
      <c r="I46" s="49" t="str">
        <f ca="1">IF(NOT(ISBLANK($B$46)),TRIM(MID(SUBSTITUTE('Analysis Sheet'!$B$46,", ",REPT(" ",LEN('Analysis Sheet'!$B$46))),((COLUMNS('Analysis Sheet'!$B$46:$B$46)-(OFFSET('Values Table'!U2,0,0)))*LEN('Analysis Sheet'!$B$46))+1,LEN('Analysis Sheet'!$B$46))))</f>
        <v/>
      </c>
      <c r="J46" s="49" t="str">
        <f ca="1">IF(NOT(ISBLANK($B$46)),TRIM(MID(SUBSTITUTE('Analysis Sheet'!$B$46,", ",REPT(" ",LEN('Analysis Sheet'!$B$46))),((COLUMNS('Analysis Sheet'!$B$46:$B$46)-(OFFSET('Values Table'!V2,0,0)))*LEN('Analysis Sheet'!$B$46))+1,LEN('Analysis Sheet'!$B$46))))</f>
        <v/>
      </c>
      <c r="K46" s="49" t="str">
        <f ca="1">IF(NOT(ISBLANK($B$46)),TRIM(MID(SUBSTITUTE('Analysis Sheet'!$B$46,", ",REPT(" ",LEN('Analysis Sheet'!$B$46))),((COLUMNS('Analysis Sheet'!$B$46:$B$46)-(OFFSET('Values Table'!W2,0,0)))*LEN('Analysis Sheet'!$B$46))+1,LEN('Analysis Sheet'!$B$46))))</f>
        <v/>
      </c>
      <c r="L46" s="49" t="str">
        <f ca="1">IF(NOT(ISBLANK($B$46)),TRIM(MID(SUBSTITUTE('Analysis Sheet'!$B$46,", ",REPT(" ",LEN('Analysis Sheet'!$B$46))),((COLUMNS('Analysis Sheet'!$B$46:$B$46)-(OFFSET('Values Table'!X2,0,0)))*LEN('Analysis Sheet'!$B$46))+1,LEN('Analysis Sheet'!$B$46))))</f>
        <v/>
      </c>
      <c r="M46" s="49" t="str">
        <f ca="1">IF(NOT(ISBLANK($B$46)),TRIM(MID(SUBSTITUTE('Analysis Sheet'!$B$46,", ",REPT(" ",LEN('Analysis Sheet'!$B$46))),((COLUMNS('Analysis Sheet'!$B$46:$B$46)-(OFFSET('Values Table'!Y2,0,0)))*LEN('Analysis Sheet'!$B$46))+1,LEN('Analysis Sheet'!$B$46))))</f>
        <v/>
      </c>
      <c r="N46" s="49" t="str">
        <f ca="1">IF(NOT(ISBLANK($B$46)),TRIM(MID(SUBSTITUTE('Analysis Sheet'!$B$46,", ",REPT(" ",LEN('Analysis Sheet'!$B$46))),((COLUMNS('Analysis Sheet'!$B$46:$B$46)-(OFFSET('Values Table'!Z2,0,0)))*LEN('Analysis Sheet'!$B$46))+1,LEN('Analysis Sheet'!$B$46))))</f>
        <v/>
      </c>
      <c r="O46" s="49" t="str">
        <f ca="1">IF(NOT(ISBLANK($B$46)),TRIM(MID(SUBSTITUTE('Analysis Sheet'!$B$46,", ",REPT(" ",LEN('Analysis Sheet'!$B$46))),((COLUMNS('Analysis Sheet'!$B$46:$B$46)-(OFFSET('Values Table'!AA2,0,0)))*LEN('Analysis Sheet'!$B$46))+1,LEN('Analysis Sheet'!$B$46))))</f>
        <v/>
      </c>
      <c r="P46" s="49" t="str">
        <f ca="1">IF(NOT(ISBLANK($B$46)),TRIM(MID(SUBSTITUTE('Analysis Sheet'!$B$46,", ",REPT(" ",LEN('Analysis Sheet'!$B$46))),((COLUMNS('Analysis Sheet'!$B$46:$B$46)-(OFFSET('Values Table'!AB2,0,0)))*LEN('Analysis Sheet'!$B$46))+1,LEN('Analysis Sheet'!$B$46))))</f>
        <v/>
      </c>
      <c r="Q46" s="49" t="str">
        <f ca="1">IF(NOT(ISBLANK($B$46)),TRIM(MID(SUBSTITUTE('Analysis Sheet'!$B$46,", ",REPT(" ",LEN('Analysis Sheet'!$B$46))),((COLUMNS('Analysis Sheet'!$B$46:$B$46)-(OFFSET('Values Table'!AC2,0,0)))*LEN('Analysis Sheet'!$B$46))+1,LEN('Analysis Sheet'!$B$46))))</f>
        <v/>
      </c>
      <c r="R46" s="49" t="str">
        <f ca="1">IF(NOT(ISBLANK($B$46)),TRIM(MID(SUBSTITUTE('Analysis Sheet'!$B$46,", ",REPT(" ",LEN('Analysis Sheet'!$B$46))),((COLUMNS('Analysis Sheet'!$B$46:$B$46)-(OFFSET('Values Table'!AD2,0,0)))*LEN('Analysis Sheet'!$B$46))+1,LEN('Analysis Sheet'!$B$46))))</f>
        <v/>
      </c>
      <c r="S46" s="49" t="str">
        <f ca="1">IF(NOT(ISBLANK($B$46)),TRIM(MID(SUBSTITUTE('Analysis Sheet'!$B$46,", ",REPT(" ",LEN('Analysis Sheet'!$B$46))),((COLUMNS('Analysis Sheet'!$B$46:$B$46)-(OFFSET('Values Table'!AE2,0,0)))*LEN('Analysis Sheet'!$B$46))+1,LEN('Analysis Sheet'!$B$46))))</f>
        <v/>
      </c>
      <c r="T46" s="49" t="str">
        <f ca="1">IF(NOT(ISBLANK($B$46)),TRIM(MID(SUBSTITUTE('Analysis Sheet'!$B$46,", ",REPT(" ",LEN('Analysis Sheet'!$B$46))),((COLUMNS('Analysis Sheet'!$B$46:$B$46)-(OFFSET('Values Table'!AF2,0,0)))*LEN('Analysis Sheet'!$B$46))+1,LEN('Analysis Sheet'!$B$46))))</f>
        <v/>
      </c>
      <c r="U46" s="49" t="str">
        <f ca="1">IF(NOT(ISBLANK($B$46)),TRIM(MID(SUBSTITUTE('Analysis Sheet'!$B$46,", ",REPT(" ",LEN('Analysis Sheet'!$B$46))),((COLUMNS('Analysis Sheet'!$B$46:$B$46)-(OFFSET('Values Table'!AG2,0,0)))*LEN('Analysis Sheet'!$B$46))+1,LEN('Analysis Sheet'!$B$46))))</f>
        <v/>
      </c>
      <c r="V46" s="49" t="str">
        <f ca="1">IF(NOT(ISBLANK($B$46)),TRIM(MID(SUBSTITUTE('Analysis Sheet'!$B$46,", ",REPT(" ",LEN('Analysis Sheet'!$B$46))),((COLUMNS('Analysis Sheet'!$B$46:$B$46)-(OFFSET('Values Table'!AH2,0,0)))*LEN('Analysis Sheet'!$B$46))+1,LEN('Analysis Sheet'!$B$46))))</f>
        <v/>
      </c>
      <c r="W46" s="42"/>
      <c r="X46" s="20" t="str">
        <f ca="1">UNIQUE($C$44:$V$63, 3)</f>
        <v>LOCAL</v>
      </c>
      <c r="Y46" s="21">
        <f ca="1">IFERROR(VLOOKUP('Analysis Sheet'!X46,'Values Table'!$A$2:$B$42,2,FALSE), "0")</f>
        <v>5</v>
      </c>
    </row>
    <row r="47" spans="1:26" s="3" customFormat="1" x14ac:dyDescent="0.3">
      <c r="A47" s="21" t="str">
        <f>UStrip('User Ranking Form'!A48)</f>
        <v xml:space="preserve">WE ARE IN CONTACT WITH SEVERAL COMPANIES IN THE SILICON VALLEY TO INCORPORATE RENEWABLE ENERGY PROJECTS TO FURTHER REDUCE OUR CARBON FOOTPRINT AND TO PIONEER SCIENTIFIC ADVANCEMENTS IN SUSTAINABLE LIVING </v>
      </c>
      <c r="B47" s="21" t="str">
        <f>IFERROR(MatchWords('Analysis Sheet'!A47, 'Values Table'!$A$2:$B$42)," ")</f>
        <v xml:space="preserve"> </v>
      </c>
      <c r="C47" s="49" t="str">
        <f ca="1">IF(NOT(ISBLANK($B$47)),TRIM(MID(SUBSTITUTE('Analysis Sheet'!$B$47,", ",REPT(" ",LEN('Analysis Sheet'!$B$47))),((COLUMNS('Analysis Sheet'!$B$47:$B$47)-(OFFSET('Values Table'!O2,0,0)))*LEN('Analysis Sheet'!$B$47))+1,LEN('Analysis Sheet'!$B$47))))</f>
        <v/>
      </c>
      <c r="D47" s="49" t="str">
        <f ca="1">IF(NOT(ISBLANK($B$47)),TRIM(MID(SUBSTITUTE('Analysis Sheet'!$B$47,", ",REPT(" ",LEN('Analysis Sheet'!$B$47))),((COLUMNS('Analysis Sheet'!$B$47:$B$47)-(OFFSET('Values Table'!P2,0,0)))*LEN('Analysis Sheet'!$B$47))+1,LEN('Analysis Sheet'!$B$47))))</f>
        <v/>
      </c>
      <c r="E47" s="49" t="str">
        <f ca="1">IF(NOT(ISBLANK($B$47)),TRIM(MID(SUBSTITUTE('Analysis Sheet'!$B$47,", ",REPT(" ",LEN('Analysis Sheet'!$B$47))),((COLUMNS('Analysis Sheet'!$B$47:$B$47)-(OFFSET('Values Table'!Q2,0,0)))*LEN('Analysis Sheet'!$B$47))+1,LEN('Analysis Sheet'!$B$47))))</f>
        <v/>
      </c>
      <c r="F47" s="49" t="str">
        <f ca="1">IF(NOT(ISBLANK($B$47)),TRIM(MID(SUBSTITUTE('Analysis Sheet'!$B$47,", ",REPT(" ",LEN('Analysis Sheet'!$B$47))),((COLUMNS('Analysis Sheet'!$B$47:$B$47)-(OFFSET('Values Table'!R2,0,0)))*LEN('Analysis Sheet'!$B$47))+1,LEN('Analysis Sheet'!$B$47))))</f>
        <v/>
      </c>
      <c r="G47" s="49" t="str">
        <f ca="1">IF(NOT(ISBLANK($B$47)),TRIM(MID(SUBSTITUTE('Analysis Sheet'!$B$47,", ",REPT(" ",LEN('Analysis Sheet'!$B$47))),((COLUMNS('Analysis Sheet'!$B$47:$B$47)-(OFFSET('Values Table'!S2,0,0)))*LEN('Analysis Sheet'!$B$47))+1,LEN('Analysis Sheet'!$B$47))))</f>
        <v/>
      </c>
      <c r="H47" s="49" t="str">
        <f ca="1">IF(NOT(ISBLANK($B$47)),TRIM(MID(SUBSTITUTE('Analysis Sheet'!$B$47,", ",REPT(" ",LEN('Analysis Sheet'!$B$47))),((COLUMNS('Analysis Sheet'!$B$47:$B$47)-(OFFSET('Values Table'!T2,0,0)))*LEN('Analysis Sheet'!$B$47))+1,LEN('Analysis Sheet'!$B$47))))</f>
        <v/>
      </c>
      <c r="I47" s="49" t="str">
        <f ca="1">IF(NOT(ISBLANK($B$47)),TRIM(MID(SUBSTITUTE('Analysis Sheet'!$B$47,", ",REPT(" ",LEN('Analysis Sheet'!$B$47))),((COLUMNS('Analysis Sheet'!$B$47:$B$47)-(OFFSET('Values Table'!U2,0,0)))*LEN('Analysis Sheet'!$B$47))+1,LEN('Analysis Sheet'!$B$47))))</f>
        <v/>
      </c>
      <c r="J47" s="49" t="str">
        <f ca="1">IF(NOT(ISBLANK($B$47)),TRIM(MID(SUBSTITUTE('Analysis Sheet'!$B$47,", ",REPT(" ",LEN('Analysis Sheet'!$B$47))),((COLUMNS('Analysis Sheet'!$B$47:$B$47)-(OFFSET('Values Table'!V2,0,0)))*LEN('Analysis Sheet'!$B$47))+1,LEN('Analysis Sheet'!$B$47))))</f>
        <v/>
      </c>
      <c r="K47" s="49" t="str">
        <f ca="1">IF(NOT(ISBLANK($B$47)),TRIM(MID(SUBSTITUTE('Analysis Sheet'!$B$47,", ",REPT(" ",LEN('Analysis Sheet'!$B$47))),((COLUMNS('Analysis Sheet'!$B$47:$B$47)-(OFFSET('Values Table'!W2,0,0)))*LEN('Analysis Sheet'!$B$47))+1,LEN('Analysis Sheet'!$B$47))))</f>
        <v/>
      </c>
      <c r="L47" s="49" t="str">
        <f ca="1">IF(NOT(ISBLANK($B$47)),TRIM(MID(SUBSTITUTE('Analysis Sheet'!$B$47,", ",REPT(" ",LEN('Analysis Sheet'!$B$47))),((COLUMNS('Analysis Sheet'!$B$47:$B$47)-(OFFSET('Values Table'!X2,0,0)))*LEN('Analysis Sheet'!$B$47))+1,LEN('Analysis Sheet'!$B$47))))</f>
        <v/>
      </c>
      <c r="M47" s="49" t="str">
        <f ca="1">IF(NOT(ISBLANK($B$47)),TRIM(MID(SUBSTITUTE('Analysis Sheet'!$B$47,", ",REPT(" ",LEN('Analysis Sheet'!$B$47))),((COLUMNS('Analysis Sheet'!$B$47:$B$47)-(OFFSET('Values Table'!Y2,0,0)))*LEN('Analysis Sheet'!$B$47))+1,LEN('Analysis Sheet'!$B$47))))</f>
        <v/>
      </c>
      <c r="N47" s="49" t="str">
        <f ca="1">IF(NOT(ISBLANK($B$47)),TRIM(MID(SUBSTITUTE('Analysis Sheet'!$B$47,", ",REPT(" ",LEN('Analysis Sheet'!$B$47))),((COLUMNS('Analysis Sheet'!$B$47:$B$47)-(OFFSET('Values Table'!Z2,0,0)))*LEN('Analysis Sheet'!$B$47))+1,LEN('Analysis Sheet'!$B$47))))</f>
        <v/>
      </c>
      <c r="O47" s="49" t="str">
        <f ca="1">IF(NOT(ISBLANK($B$47)),TRIM(MID(SUBSTITUTE('Analysis Sheet'!$B$47,", ",REPT(" ",LEN('Analysis Sheet'!$B$47))),((COLUMNS('Analysis Sheet'!$B$47:$B$47)-(OFFSET('Values Table'!AA2,0,0)))*LEN('Analysis Sheet'!$B$47))+1,LEN('Analysis Sheet'!$B$47))))</f>
        <v/>
      </c>
      <c r="P47" s="49" t="str">
        <f ca="1">IF(NOT(ISBLANK($B$47)),TRIM(MID(SUBSTITUTE('Analysis Sheet'!$B$47,", ",REPT(" ",LEN('Analysis Sheet'!$B$47))),((COLUMNS('Analysis Sheet'!$B$47:$B$47)-(OFFSET('Values Table'!AB2,0,0)))*LEN('Analysis Sheet'!$B$47))+1,LEN('Analysis Sheet'!$B$47))))</f>
        <v/>
      </c>
      <c r="Q47" s="49" t="str">
        <f ca="1">IF(NOT(ISBLANK($B$47)),TRIM(MID(SUBSTITUTE('Analysis Sheet'!$B$47,", ",REPT(" ",LEN('Analysis Sheet'!$B$47))),((COLUMNS('Analysis Sheet'!$B$47:$B$47)-(OFFSET('Values Table'!AC2,0,0)))*LEN('Analysis Sheet'!$B$47))+1,LEN('Analysis Sheet'!$B$47))))</f>
        <v/>
      </c>
      <c r="R47" s="49" t="str">
        <f ca="1">IF(NOT(ISBLANK($B$47)),TRIM(MID(SUBSTITUTE('Analysis Sheet'!$B$47,", ",REPT(" ",LEN('Analysis Sheet'!$B$47))),((COLUMNS('Analysis Sheet'!$B$47:$B$47)-(OFFSET('Values Table'!AD2,0,0)))*LEN('Analysis Sheet'!$B$47))+1,LEN('Analysis Sheet'!$B$47))))</f>
        <v/>
      </c>
      <c r="S47" s="49" t="str">
        <f ca="1">IF(NOT(ISBLANK($B$47)),TRIM(MID(SUBSTITUTE('Analysis Sheet'!$B$47,", ",REPT(" ",LEN('Analysis Sheet'!$B$47))),((COLUMNS('Analysis Sheet'!$B$47:$B$47)-(OFFSET('Values Table'!AE2,0,0)))*LEN('Analysis Sheet'!$B$47))+1,LEN('Analysis Sheet'!$B$47))))</f>
        <v/>
      </c>
      <c r="T47" s="49" t="str">
        <f ca="1">IF(NOT(ISBLANK($B$47)),TRIM(MID(SUBSTITUTE('Analysis Sheet'!$B$47,", ",REPT(" ",LEN('Analysis Sheet'!$B$47))),((COLUMNS('Analysis Sheet'!$B$47:$B$47)-(OFFSET('Values Table'!AF2,0,0)))*LEN('Analysis Sheet'!$B$47))+1,LEN('Analysis Sheet'!$B$47))))</f>
        <v/>
      </c>
      <c r="U47" s="49" t="str">
        <f ca="1">IF(NOT(ISBLANK($B$47)),TRIM(MID(SUBSTITUTE('Analysis Sheet'!$B$47,", ",REPT(" ",LEN('Analysis Sheet'!$B$47))),((COLUMNS('Analysis Sheet'!$B$47:$B$47)-(OFFSET('Values Table'!AG2,0,0)))*LEN('Analysis Sheet'!$B$47))+1,LEN('Analysis Sheet'!$B$47))))</f>
        <v/>
      </c>
      <c r="V47" s="49" t="str">
        <f ca="1">IF(NOT(ISBLANK($B$47)),TRIM(MID(SUBSTITUTE('Analysis Sheet'!$B$47,", ",REPT(" ",LEN('Analysis Sheet'!$B$47))),((COLUMNS('Analysis Sheet'!$B$47:$B$47)-(OFFSET('Values Table'!AH2,0,0)))*LEN('Analysis Sheet'!$B$47))+1,LEN('Analysis Sheet'!$B$47))))</f>
        <v/>
      </c>
      <c r="W47" s="42"/>
      <c r="X47" s="20" t="str">
        <f ca="1">UNIQUE($C$44:$V$63, 4)</f>
        <v/>
      </c>
      <c r="Y47" s="21" t="str">
        <f ca="1">IFERROR(VLOOKUP('Analysis Sheet'!X47,'Values Table'!$A$2:$B$42,2,FALSE), "0")</f>
        <v>0</v>
      </c>
    </row>
    <row r="48" spans="1:26" s="3" customFormat="1" x14ac:dyDescent="0.3">
      <c r="A48" s="21" t="str">
        <f>UStrip('User Ranking Form'!A49)</f>
        <v>SECONDLY WE ARE WORKING TO ENSURE THAT OUR MODEL FOR THE PROJECT IS FINANCIALLY SUSTAINABLE</v>
      </c>
      <c r="B48" s="21" t="str">
        <f>IFERROR(MatchWords('Analysis Sheet'!A48, 'Values Table'!$A$2:$B$42)," ")</f>
        <v xml:space="preserve"> </v>
      </c>
      <c r="C48" s="49" t="str">
        <f ca="1">IF(NOT(ISBLANK($B$48)),TRIM(MID(SUBSTITUTE('Analysis Sheet'!$B$48,", ",REPT(" ",LEN('Analysis Sheet'!$B$48))),((COLUMNS('Analysis Sheet'!$B$48:$B$48)-(OFFSET('Values Table'!O2,0,0)))*LEN('Analysis Sheet'!$B$48))+1,LEN('Analysis Sheet'!$B$48))))</f>
        <v/>
      </c>
      <c r="D48" s="49" t="str">
        <f ca="1">IF(NOT(ISBLANK($B$48)),TRIM(MID(SUBSTITUTE('Analysis Sheet'!$B$48,", ",REPT(" ",LEN('Analysis Sheet'!$B$48))),((COLUMNS('Analysis Sheet'!$B$48:$B$48)-(OFFSET('Values Table'!P2,0,0)))*LEN('Analysis Sheet'!$B$48))+1,LEN('Analysis Sheet'!$B$48))))</f>
        <v/>
      </c>
      <c r="E48" s="49" t="str">
        <f ca="1">IF(NOT(ISBLANK($B$48)),TRIM(MID(SUBSTITUTE('Analysis Sheet'!$B$48,", ",REPT(" ",LEN('Analysis Sheet'!$B$48))),((COLUMNS('Analysis Sheet'!$B$48:$B$48)-(OFFSET('Values Table'!Q2,0,0)))*LEN('Analysis Sheet'!$B$48))+1,LEN('Analysis Sheet'!$B$48))))</f>
        <v/>
      </c>
      <c r="F48" s="49" t="str">
        <f ca="1">IF(NOT(ISBLANK($B$48)),TRIM(MID(SUBSTITUTE('Analysis Sheet'!$B$48,", ",REPT(" ",LEN('Analysis Sheet'!$B$48))),((COLUMNS('Analysis Sheet'!$B$48:$B$48)-(OFFSET('Values Table'!R2,0,0)))*LEN('Analysis Sheet'!$B$48))+1,LEN('Analysis Sheet'!$B$48))))</f>
        <v/>
      </c>
      <c r="G48" s="49" t="str">
        <f ca="1">IF(NOT(ISBLANK($B$48)),TRIM(MID(SUBSTITUTE('Analysis Sheet'!$B$48,", ",REPT(" ",LEN('Analysis Sheet'!$B$48))),((COLUMNS('Analysis Sheet'!$B$48:$B$48)-(OFFSET('Values Table'!S2,0,0)))*LEN('Analysis Sheet'!$B$48))+1,LEN('Analysis Sheet'!$B$48))))</f>
        <v/>
      </c>
      <c r="H48" s="49" t="str">
        <f ca="1">IF(NOT(ISBLANK($B$48)),TRIM(MID(SUBSTITUTE('Analysis Sheet'!$B$48,", ",REPT(" ",LEN('Analysis Sheet'!$B$48))),((COLUMNS('Analysis Sheet'!$B$48:$B$48)-(OFFSET('Values Table'!T2,0,0)))*LEN('Analysis Sheet'!$B$48))+1,LEN('Analysis Sheet'!$B$48))))</f>
        <v/>
      </c>
      <c r="I48" s="49" t="str">
        <f ca="1">IF(NOT(ISBLANK($B$48)),TRIM(MID(SUBSTITUTE('Analysis Sheet'!$B$48,", ",REPT(" ",LEN('Analysis Sheet'!$B$48))),((COLUMNS('Analysis Sheet'!$B$48:$B$48)-(OFFSET('Values Table'!U2,0,0)))*LEN('Analysis Sheet'!$B$48))+1,LEN('Analysis Sheet'!$B$48))))</f>
        <v/>
      </c>
      <c r="J48" s="49" t="str">
        <f ca="1">IF(NOT(ISBLANK($B$48)),TRIM(MID(SUBSTITUTE('Analysis Sheet'!$B$48,", ",REPT(" ",LEN('Analysis Sheet'!$B$48))),((COLUMNS('Analysis Sheet'!$B$48:$B$48)-(OFFSET('Values Table'!V2,0,0)))*LEN('Analysis Sheet'!$B$48))+1,LEN('Analysis Sheet'!$B$48))))</f>
        <v/>
      </c>
      <c r="K48" s="49" t="str">
        <f ca="1">IF(NOT(ISBLANK($B$48)),TRIM(MID(SUBSTITUTE('Analysis Sheet'!$B$48,", ",REPT(" ",LEN('Analysis Sheet'!$B$48))),((COLUMNS('Analysis Sheet'!$B$48:$B$48)-(OFFSET('Values Table'!W2,0,0)))*LEN('Analysis Sheet'!$B$48))+1,LEN('Analysis Sheet'!$B$48))))</f>
        <v/>
      </c>
      <c r="L48" s="49" t="str">
        <f ca="1">IF(NOT(ISBLANK($B$48)),TRIM(MID(SUBSTITUTE('Analysis Sheet'!$B$48,", ",REPT(" ",LEN('Analysis Sheet'!$B$48))),((COLUMNS('Analysis Sheet'!$B$48:$B$48)-(OFFSET('Values Table'!X2,0,0)))*LEN('Analysis Sheet'!$B$48))+1,LEN('Analysis Sheet'!$B$48))))</f>
        <v/>
      </c>
      <c r="M48" s="49" t="str">
        <f ca="1">IF(NOT(ISBLANK($B$48)),TRIM(MID(SUBSTITUTE('Analysis Sheet'!$B$48,", ",REPT(" ",LEN('Analysis Sheet'!$B$48))),((COLUMNS('Analysis Sheet'!$B$48:$B$48)-(OFFSET('Values Table'!Y2,0,0)))*LEN('Analysis Sheet'!$B$48))+1,LEN('Analysis Sheet'!$B$48))))</f>
        <v/>
      </c>
      <c r="N48" s="49" t="str">
        <f ca="1">IF(NOT(ISBLANK($B$48)),TRIM(MID(SUBSTITUTE('Analysis Sheet'!$B$48,", ",REPT(" ",LEN('Analysis Sheet'!$B$48))),((COLUMNS('Analysis Sheet'!$B$48:$B$48)-(OFFSET('Values Table'!Z2,0,0)))*LEN('Analysis Sheet'!$B$48))+1,LEN('Analysis Sheet'!$B$48))))</f>
        <v/>
      </c>
      <c r="O48" s="49" t="str">
        <f ca="1">IF(NOT(ISBLANK($B$48)),TRIM(MID(SUBSTITUTE('Analysis Sheet'!$B$48,", ",REPT(" ",LEN('Analysis Sheet'!$B$48))),((COLUMNS('Analysis Sheet'!$B$48:$B$48)-(OFFSET('Values Table'!AA2,0,0)))*LEN('Analysis Sheet'!$B$48))+1,LEN('Analysis Sheet'!$B$48))))</f>
        <v/>
      </c>
      <c r="P48" s="49" t="str">
        <f ca="1">IF(NOT(ISBLANK($B$48)),TRIM(MID(SUBSTITUTE('Analysis Sheet'!$B$48,", ",REPT(" ",LEN('Analysis Sheet'!$B$48))),((COLUMNS('Analysis Sheet'!$B$48:$B$48)-(OFFSET('Values Table'!AB2,0,0)))*LEN('Analysis Sheet'!$B$48))+1,LEN('Analysis Sheet'!$B$48))))</f>
        <v/>
      </c>
      <c r="Q48" s="49" t="str">
        <f ca="1">IF(NOT(ISBLANK($B$48)),TRIM(MID(SUBSTITUTE('Analysis Sheet'!$B$48,", ",REPT(" ",LEN('Analysis Sheet'!$B$48))),((COLUMNS('Analysis Sheet'!$B$48:$B$48)-(OFFSET('Values Table'!AC2,0,0)))*LEN('Analysis Sheet'!$B$48))+1,LEN('Analysis Sheet'!$B$48))))</f>
        <v/>
      </c>
      <c r="R48" s="49" t="str">
        <f ca="1">IF(NOT(ISBLANK($B$48)),TRIM(MID(SUBSTITUTE('Analysis Sheet'!$B$48,", ",REPT(" ",LEN('Analysis Sheet'!$B$48))),((COLUMNS('Analysis Sheet'!$B$48:$B$48)-(OFFSET('Values Table'!AD2,0,0)))*LEN('Analysis Sheet'!$B$48))+1,LEN('Analysis Sheet'!$B$48))))</f>
        <v/>
      </c>
      <c r="S48" s="49" t="str">
        <f ca="1">IF(NOT(ISBLANK($B$48)),TRIM(MID(SUBSTITUTE('Analysis Sheet'!$B$48,", ",REPT(" ",LEN('Analysis Sheet'!$B$48))),((COLUMNS('Analysis Sheet'!$B$48:$B$48)-(OFFSET('Values Table'!AE2,0,0)))*LEN('Analysis Sheet'!$B$48))+1,LEN('Analysis Sheet'!$B$48))))</f>
        <v/>
      </c>
      <c r="T48" s="49" t="str">
        <f ca="1">IF(NOT(ISBLANK($B$48)),TRIM(MID(SUBSTITUTE('Analysis Sheet'!$B$48,", ",REPT(" ",LEN('Analysis Sheet'!$B$48))),((COLUMNS('Analysis Sheet'!$B$48:$B$48)-(OFFSET('Values Table'!AF2,0,0)))*LEN('Analysis Sheet'!$B$48))+1,LEN('Analysis Sheet'!$B$48))))</f>
        <v/>
      </c>
      <c r="U48" s="49" t="str">
        <f ca="1">IF(NOT(ISBLANK($B$48)),TRIM(MID(SUBSTITUTE('Analysis Sheet'!$B$48,", ",REPT(" ",LEN('Analysis Sheet'!$B$48))),((COLUMNS('Analysis Sheet'!$B$48:$B$48)-(OFFSET('Values Table'!AG2,0,0)))*LEN('Analysis Sheet'!$B$48))+1,LEN('Analysis Sheet'!$B$48))))</f>
        <v/>
      </c>
      <c r="V48" s="49" t="str">
        <f ca="1">IF(NOT(ISBLANK($B$48)),TRIM(MID(SUBSTITUTE('Analysis Sheet'!$B$48,", ",REPT(" ",LEN('Analysis Sheet'!$B$48))),((COLUMNS('Analysis Sheet'!$B$48:$B$48)-(OFFSET('Values Table'!AH2,0,0)))*LEN('Analysis Sheet'!$B$48))+1,LEN('Analysis Sheet'!$B$48))))</f>
        <v/>
      </c>
      <c r="W48" s="42"/>
      <c r="X48" s="20" t="str">
        <f ca="1">UNIQUE($C$44:$V$63, 5)</f>
        <v/>
      </c>
      <c r="Y48" s="21" t="str">
        <f ca="1">IFERROR(VLOOKUP('Analysis Sheet'!X48,'Values Table'!$A$2:$B$42,2,FALSE), "0")</f>
        <v>0</v>
      </c>
    </row>
    <row r="49" spans="1:26" s="3" customFormat="1" x14ac:dyDescent="0.3">
      <c r="A49" s="21" t="str">
        <f>UStrip('User Ranking Form'!A50)</f>
        <v xml:space="preserve">AFTER THE INITIAL INVESTMENTS HAVE BEEN MADE OUR BUDGET WILL BE COMPRISED PRIMARILY FROM THE REVENUE GENERATED BY THE CRV FROM BOTTLES DONATED BY LOCAL EVENT CENTERS CORPORATIONS AND HOUSEHOLDS </v>
      </c>
      <c r="B49" s="21" t="str">
        <f>IFERROR(MatchWords('Analysis Sheet'!A49, 'Values Table'!$A$2:$B$42)," ")</f>
        <v>LOCAL</v>
      </c>
      <c r="C49" s="49" t="str">
        <f ca="1">IF(NOT(ISBLANK($B$49)),TRIM(MID(SUBSTITUTE('Analysis Sheet'!$B$49,", ",REPT(" ",LEN('Analysis Sheet'!$B$49))),((COLUMNS('Analysis Sheet'!$B$49:$B$49)-(OFFSET('Values Table'!O2,0,0)))*LEN('Analysis Sheet'!$B$49))+1,LEN('Analysis Sheet'!$B$49))))</f>
        <v>LOCAL</v>
      </c>
      <c r="D49" s="49" t="str">
        <f ca="1">IF(NOT(ISBLANK($B$49)),TRIM(MID(SUBSTITUTE('Analysis Sheet'!$B$49,", ",REPT(" ",LEN('Analysis Sheet'!$B$49))),((COLUMNS('Analysis Sheet'!$B$49:$B$49)-(OFFSET('Values Table'!P2,0,0)))*LEN('Analysis Sheet'!$B$49))+1,LEN('Analysis Sheet'!$B$49))))</f>
        <v/>
      </c>
      <c r="E49" s="49" t="str">
        <f ca="1">IF(NOT(ISBLANK($B$49)),TRIM(MID(SUBSTITUTE('Analysis Sheet'!$B$49,", ",REPT(" ",LEN('Analysis Sheet'!$B$49))),((COLUMNS('Analysis Sheet'!$B$49:$B$49)-(OFFSET('Values Table'!Q2,0,0)))*LEN('Analysis Sheet'!$B$49))+1,LEN('Analysis Sheet'!$B$49))))</f>
        <v/>
      </c>
      <c r="F49" s="49" t="str">
        <f ca="1">IF(NOT(ISBLANK($B$49)),TRIM(MID(SUBSTITUTE('Analysis Sheet'!$B$49,", ",REPT(" ",LEN('Analysis Sheet'!$B$49))),((COLUMNS('Analysis Sheet'!$B$49:$B$49)-(OFFSET('Values Table'!R2,0,0)))*LEN('Analysis Sheet'!$B$49))+1,LEN('Analysis Sheet'!$B$49))))</f>
        <v/>
      </c>
      <c r="G49" s="49" t="str">
        <f ca="1">IF(NOT(ISBLANK($B$49)),TRIM(MID(SUBSTITUTE('Analysis Sheet'!$B$49,", ",REPT(" ",LEN('Analysis Sheet'!$B$49))),((COLUMNS('Analysis Sheet'!$B$49:$B$49)-(OFFSET('Values Table'!S2,0,0)))*LEN('Analysis Sheet'!$B$49))+1,LEN('Analysis Sheet'!$B$49))))</f>
        <v/>
      </c>
      <c r="H49" s="49" t="str">
        <f ca="1">IF(NOT(ISBLANK($B$49)),TRIM(MID(SUBSTITUTE('Analysis Sheet'!$B$49,", ",REPT(" ",LEN('Analysis Sheet'!$B$49))),((COLUMNS('Analysis Sheet'!$B$49:$B$49)-(OFFSET('Values Table'!T2,0,0)))*LEN('Analysis Sheet'!$B$49))+1,LEN('Analysis Sheet'!$B$49))))</f>
        <v/>
      </c>
      <c r="I49" s="49" t="str">
        <f ca="1">IF(NOT(ISBLANK($B$49)),TRIM(MID(SUBSTITUTE('Analysis Sheet'!$B$49,", ",REPT(" ",LEN('Analysis Sheet'!$B$49))),((COLUMNS('Analysis Sheet'!$B$49:$B$49)-(OFFSET('Values Table'!U2,0,0)))*LEN('Analysis Sheet'!$B$49))+1,LEN('Analysis Sheet'!$B$49))))</f>
        <v/>
      </c>
      <c r="J49" s="49" t="str">
        <f ca="1">IF(NOT(ISBLANK($B$49)),TRIM(MID(SUBSTITUTE('Analysis Sheet'!$B$49,", ",REPT(" ",LEN('Analysis Sheet'!$B$49))),((COLUMNS('Analysis Sheet'!$B$49:$B$49)-(OFFSET('Values Table'!V2,0,0)))*LEN('Analysis Sheet'!$B$49))+1,LEN('Analysis Sheet'!$B$49))))</f>
        <v/>
      </c>
      <c r="K49" s="49" t="str">
        <f ca="1">IF(NOT(ISBLANK($B$49)),TRIM(MID(SUBSTITUTE('Analysis Sheet'!$B$49,", ",REPT(" ",LEN('Analysis Sheet'!$B$49))),((COLUMNS('Analysis Sheet'!$B$49:$B$49)-(OFFSET('Values Table'!W2,0,0)))*LEN('Analysis Sheet'!$B$49))+1,LEN('Analysis Sheet'!$B$49))))</f>
        <v/>
      </c>
      <c r="L49" s="49" t="str">
        <f ca="1">IF(NOT(ISBLANK($B$49)),TRIM(MID(SUBSTITUTE('Analysis Sheet'!$B$49,", ",REPT(" ",LEN('Analysis Sheet'!$B$49))),((COLUMNS('Analysis Sheet'!$B$49:$B$49)-(OFFSET('Values Table'!X2,0,0)))*LEN('Analysis Sheet'!$B$49))+1,LEN('Analysis Sheet'!$B$49))))</f>
        <v/>
      </c>
      <c r="M49" s="49" t="str">
        <f ca="1">IF(NOT(ISBLANK($B$49)),TRIM(MID(SUBSTITUTE('Analysis Sheet'!$B$49,", ",REPT(" ",LEN('Analysis Sheet'!$B$49))),((COLUMNS('Analysis Sheet'!$B$49:$B$49)-(OFFSET('Values Table'!Y2,0,0)))*LEN('Analysis Sheet'!$B$49))+1,LEN('Analysis Sheet'!$B$49))))</f>
        <v/>
      </c>
      <c r="N49" s="49" t="str">
        <f ca="1">IF(NOT(ISBLANK($B$49)),TRIM(MID(SUBSTITUTE('Analysis Sheet'!$B$49,", ",REPT(" ",LEN('Analysis Sheet'!$B$49))),((COLUMNS('Analysis Sheet'!$B$49:$B$49)-(OFFSET('Values Table'!Z2,0,0)))*LEN('Analysis Sheet'!$B$49))+1,LEN('Analysis Sheet'!$B$49))))</f>
        <v/>
      </c>
      <c r="O49" s="49" t="str">
        <f ca="1">IF(NOT(ISBLANK($B$49)),TRIM(MID(SUBSTITUTE('Analysis Sheet'!$B$49,", ",REPT(" ",LEN('Analysis Sheet'!$B$49))),((COLUMNS('Analysis Sheet'!$B$49:$B$49)-(OFFSET('Values Table'!AA2,0,0)))*LEN('Analysis Sheet'!$B$49))+1,LEN('Analysis Sheet'!$B$49))))</f>
        <v/>
      </c>
      <c r="P49" s="49" t="str">
        <f ca="1">IF(NOT(ISBLANK($B$49)),TRIM(MID(SUBSTITUTE('Analysis Sheet'!$B$49,", ",REPT(" ",LEN('Analysis Sheet'!$B$49))),((COLUMNS('Analysis Sheet'!$B$49:$B$49)-(OFFSET('Values Table'!AB2,0,0)))*LEN('Analysis Sheet'!$B$49))+1,LEN('Analysis Sheet'!$B$49))))</f>
        <v/>
      </c>
      <c r="Q49" s="49" t="str">
        <f ca="1">IF(NOT(ISBLANK($B$49)),TRIM(MID(SUBSTITUTE('Analysis Sheet'!$B$49,", ",REPT(" ",LEN('Analysis Sheet'!$B$49))),((COLUMNS('Analysis Sheet'!$B$49:$B$49)-(OFFSET('Values Table'!AC2,0,0)))*LEN('Analysis Sheet'!$B$49))+1,LEN('Analysis Sheet'!$B$49))))</f>
        <v/>
      </c>
      <c r="R49" s="49" t="str">
        <f ca="1">IF(NOT(ISBLANK($B$49)),TRIM(MID(SUBSTITUTE('Analysis Sheet'!$B$49,", ",REPT(" ",LEN('Analysis Sheet'!$B$49))),((COLUMNS('Analysis Sheet'!$B$49:$B$49)-(OFFSET('Values Table'!AD2,0,0)))*LEN('Analysis Sheet'!$B$49))+1,LEN('Analysis Sheet'!$B$49))))</f>
        <v/>
      </c>
      <c r="S49" s="49" t="str">
        <f ca="1">IF(NOT(ISBLANK($B$49)),TRIM(MID(SUBSTITUTE('Analysis Sheet'!$B$49,", ",REPT(" ",LEN('Analysis Sheet'!$B$49))),((COLUMNS('Analysis Sheet'!$B$49:$B$49)-(OFFSET('Values Table'!AE2,0,0)))*LEN('Analysis Sheet'!$B$49))+1,LEN('Analysis Sheet'!$B$49))))</f>
        <v/>
      </c>
      <c r="T49" s="49" t="str">
        <f ca="1">IF(NOT(ISBLANK($B$49)),TRIM(MID(SUBSTITUTE('Analysis Sheet'!$B$49,", ",REPT(" ",LEN('Analysis Sheet'!$B$49))),((COLUMNS('Analysis Sheet'!$B$49:$B$49)-(OFFSET('Values Table'!AF2,0,0)))*LEN('Analysis Sheet'!$B$49))+1,LEN('Analysis Sheet'!$B$49))))</f>
        <v/>
      </c>
      <c r="U49" s="49" t="str">
        <f ca="1">IF(NOT(ISBLANK($B$49)),TRIM(MID(SUBSTITUTE('Analysis Sheet'!$B$49,", ",REPT(" ",LEN('Analysis Sheet'!$B$49))),((COLUMNS('Analysis Sheet'!$B$49:$B$49)-(OFFSET('Values Table'!AG2,0,0)))*LEN('Analysis Sheet'!$B$49))+1,LEN('Analysis Sheet'!$B$49))))</f>
        <v/>
      </c>
      <c r="V49" s="49" t="str">
        <f ca="1">IF(NOT(ISBLANK($B$49)),TRIM(MID(SUBSTITUTE('Analysis Sheet'!$B$49,", ",REPT(" ",LEN('Analysis Sheet'!$B$49))),((COLUMNS('Analysis Sheet'!$B$49:$B$49)-(OFFSET('Values Table'!AH2,0,0)))*LEN('Analysis Sheet'!$B$49))+1,LEN('Analysis Sheet'!$B$49))))</f>
        <v/>
      </c>
      <c r="W49" s="42"/>
      <c r="X49" s="20" t="str">
        <f ca="1">UNIQUE($C$44:$V$63, 6)</f>
        <v/>
      </c>
      <c r="Y49" s="21" t="str">
        <f ca="1">IFERROR(VLOOKUP('Analysis Sheet'!X49,'Values Table'!$A$2:$B$42,2,FALSE), "0")</f>
        <v>0</v>
      </c>
    </row>
    <row r="50" spans="1:26" s="3" customFormat="1" x14ac:dyDescent="0.3">
      <c r="A50" s="21" t="str">
        <f>UStrip('User Ranking Form'!A51)</f>
        <v xml:space="preserve">WE ARE SEEKING EXPERT ADVICE FROM HUNDREDS OF PEOPLE TO ENSURE THAT WE HAVE A THOROUGHLY RESEARCHED VIABLE MODEL WITH LIMITED LIABILITY </v>
      </c>
      <c r="B50" s="21" t="str">
        <f>IFERROR(MatchWords('Analysis Sheet'!A50, 'Values Table'!$A$2:$B$42)," ")</f>
        <v xml:space="preserve"> </v>
      </c>
      <c r="C50" s="49" t="str">
        <f ca="1">IF(NOT(ISBLANK($B$50)),TRIM(MID(SUBSTITUTE('Analysis Sheet'!$B$50,", ",REPT(" ",LEN('Analysis Sheet'!$B$50))),((COLUMNS('Analysis Sheet'!$B$50:$B$50)-(OFFSET('Values Table'!O2,0,0)))*LEN('Analysis Sheet'!$B$50))+1,LEN('Analysis Sheet'!$B$50))))</f>
        <v/>
      </c>
      <c r="D50" s="49" t="str">
        <f ca="1">IF(NOT(ISBLANK($B$50)),TRIM(MID(SUBSTITUTE('Analysis Sheet'!$B$50,", ",REPT(" ",LEN('Analysis Sheet'!$B$50))),((COLUMNS('Analysis Sheet'!$B$50:$B$50)-(OFFSET('Values Table'!P2,0,0)))*LEN('Analysis Sheet'!$B$50))+1,LEN('Analysis Sheet'!$B$50))))</f>
        <v/>
      </c>
      <c r="E50" s="49" t="str">
        <f ca="1">IF(NOT(ISBLANK($B$50)),TRIM(MID(SUBSTITUTE('Analysis Sheet'!$B$50,", ",REPT(" ",LEN('Analysis Sheet'!$B$50))),((COLUMNS('Analysis Sheet'!$B$50:$B$50)-(OFFSET('Values Table'!Q2,0,0)))*LEN('Analysis Sheet'!$B$50))+1,LEN('Analysis Sheet'!$B$50))))</f>
        <v/>
      </c>
      <c r="F50" s="49" t="str">
        <f ca="1">IF(NOT(ISBLANK($B$50)),TRIM(MID(SUBSTITUTE('Analysis Sheet'!$B$50,", ",REPT(" ",LEN('Analysis Sheet'!$B$50))),((COLUMNS('Analysis Sheet'!$B$50:$B$50)-(OFFSET('Values Table'!R2,0,0)))*LEN('Analysis Sheet'!$B$50))+1,LEN('Analysis Sheet'!$B$50))))</f>
        <v/>
      </c>
      <c r="G50" s="49" t="str">
        <f ca="1">IF(NOT(ISBLANK($B$50)),TRIM(MID(SUBSTITUTE('Analysis Sheet'!$B$50,", ",REPT(" ",LEN('Analysis Sheet'!$B$50))),((COLUMNS('Analysis Sheet'!$B$50:$B$50)-(OFFSET('Values Table'!S2,0,0)))*LEN('Analysis Sheet'!$B$50))+1,LEN('Analysis Sheet'!$B$50))))</f>
        <v/>
      </c>
      <c r="H50" s="49" t="str">
        <f ca="1">IF(NOT(ISBLANK($B$50)),TRIM(MID(SUBSTITUTE('Analysis Sheet'!$B$50,", ",REPT(" ",LEN('Analysis Sheet'!$B$50))),((COLUMNS('Analysis Sheet'!$B$50:$B$50)-(OFFSET('Values Table'!T2,0,0)))*LEN('Analysis Sheet'!$B$50))+1,LEN('Analysis Sheet'!$B$50))))</f>
        <v/>
      </c>
      <c r="I50" s="49" t="str">
        <f ca="1">IF(NOT(ISBLANK($B$50)),TRIM(MID(SUBSTITUTE('Analysis Sheet'!$B$50,", ",REPT(" ",LEN('Analysis Sheet'!$B$50))),((COLUMNS('Analysis Sheet'!$B$50:$B$50)-(OFFSET('Values Table'!U2,0,0)))*LEN('Analysis Sheet'!$B$50))+1,LEN('Analysis Sheet'!$B$50))))</f>
        <v/>
      </c>
      <c r="J50" s="49" t="str">
        <f ca="1">IF(NOT(ISBLANK($B$50)),TRIM(MID(SUBSTITUTE('Analysis Sheet'!$B$50,", ",REPT(" ",LEN('Analysis Sheet'!$B$50))),((COLUMNS('Analysis Sheet'!$B$50:$B$50)-(OFFSET('Values Table'!V2,0,0)))*LEN('Analysis Sheet'!$B$50))+1,LEN('Analysis Sheet'!$B$50))))</f>
        <v/>
      </c>
      <c r="K50" s="49" t="str">
        <f ca="1">IF(NOT(ISBLANK($B$50)),TRIM(MID(SUBSTITUTE('Analysis Sheet'!$B$50,", ",REPT(" ",LEN('Analysis Sheet'!$B$50))),((COLUMNS('Analysis Sheet'!$B$50:$B$50)-(OFFSET('Values Table'!W2,0,0)))*LEN('Analysis Sheet'!$B$50))+1,LEN('Analysis Sheet'!$B$50))))</f>
        <v/>
      </c>
      <c r="L50" s="49" t="str">
        <f ca="1">IF(NOT(ISBLANK($B$50)),TRIM(MID(SUBSTITUTE('Analysis Sheet'!$B$50,", ",REPT(" ",LEN('Analysis Sheet'!$B$50))),((COLUMNS('Analysis Sheet'!$B$50:$B$50)-(OFFSET('Values Table'!X2,0,0)))*LEN('Analysis Sheet'!$B$50))+1,LEN('Analysis Sheet'!$B$50))))</f>
        <v/>
      </c>
      <c r="M50" s="49" t="str">
        <f ca="1">IF(NOT(ISBLANK($B$50)),TRIM(MID(SUBSTITUTE('Analysis Sheet'!$B$50,", ",REPT(" ",LEN('Analysis Sheet'!$B$50))),((COLUMNS('Analysis Sheet'!$B$50:$B$50)-(OFFSET('Values Table'!Y2,0,0)))*LEN('Analysis Sheet'!$B$50))+1,LEN('Analysis Sheet'!$B$50))))</f>
        <v/>
      </c>
      <c r="N50" s="49" t="str">
        <f ca="1">IF(NOT(ISBLANK($B$50)),TRIM(MID(SUBSTITUTE('Analysis Sheet'!$B$50,", ",REPT(" ",LEN('Analysis Sheet'!$B$50))),((COLUMNS('Analysis Sheet'!$B$50:$B$50)-(OFFSET('Values Table'!Z2,0,0)))*LEN('Analysis Sheet'!$B$50))+1,LEN('Analysis Sheet'!$B$50))))</f>
        <v/>
      </c>
      <c r="O50" s="49" t="str">
        <f ca="1">IF(NOT(ISBLANK($B$50)),TRIM(MID(SUBSTITUTE('Analysis Sheet'!$B$50,", ",REPT(" ",LEN('Analysis Sheet'!$B$50))),((COLUMNS('Analysis Sheet'!$B$50:$B$50)-(OFFSET('Values Table'!AA2,0,0)))*LEN('Analysis Sheet'!$B$50))+1,LEN('Analysis Sheet'!$B$50))))</f>
        <v/>
      </c>
      <c r="P50" s="49" t="str">
        <f ca="1">IF(NOT(ISBLANK($B$50)),TRIM(MID(SUBSTITUTE('Analysis Sheet'!$B$50,", ",REPT(" ",LEN('Analysis Sheet'!$B$50))),((COLUMNS('Analysis Sheet'!$B$50:$B$50)-(OFFSET('Values Table'!AB2,0,0)))*LEN('Analysis Sheet'!$B$50))+1,LEN('Analysis Sheet'!$B$50))))</f>
        <v/>
      </c>
      <c r="Q50" s="49" t="str">
        <f ca="1">IF(NOT(ISBLANK($B$50)),TRIM(MID(SUBSTITUTE('Analysis Sheet'!$B$50,", ",REPT(" ",LEN('Analysis Sheet'!$B$50))),((COLUMNS('Analysis Sheet'!$B$50:$B$50)-(OFFSET('Values Table'!AC2,0,0)))*LEN('Analysis Sheet'!$B$50))+1,LEN('Analysis Sheet'!$B$50))))</f>
        <v/>
      </c>
      <c r="R50" s="49" t="str">
        <f ca="1">IF(NOT(ISBLANK($B$50)),TRIM(MID(SUBSTITUTE('Analysis Sheet'!$B$50,", ",REPT(" ",LEN('Analysis Sheet'!$B$50))),((COLUMNS('Analysis Sheet'!$B$50:$B$50)-(OFFSET('Values Table'!AD2,0,0)))*LEN('Analysis Sheet'!$B$50))+1,LEN('Analysis Sheet'!$B$50))))</f>
        <v/>
      </c>
      <c r="S50" s="49" t="str">
        <f ca="1">IF(NOT(ISBLANK($B$50)),TRIM(MID(SUBSTITUTE('Analysis Sheet'!$B$50,", ",REPT(" ",LEN('Analysis Sheet'!$B$50))),((COLUMNS('Analysis Sheet'!$B$50:$B$50)-(OFFSET('Values Table'!AE2,0,0)))*LEN('Analysis Sheet'!$B$50))+1,LEN('Analysis Sheet'!$B$50))))</f>
        <v/>
      </c>
      <c r="T50" s="49" t="str">
        <f ca="1">IF(NOT(ISBLANK($B$50)),TRIM(MID(SUBSTITUTE('Analysis Sheet'!$B$50,", ",REPT(" ",LEN('Analysis Sheet'!$B$50))),((COLUMNS('Analysis Sheet'!$B$50:$B$50)-(OFFSET('Values Table'!AF2,0,0)))*LEN('Analysis Sheet'!$B$50))+1,LEN('Analysis Sheet'!$B$50))))</f>
        <v/>
      </c>
      <c r="U50" s="49" t="str">
        <f ca="1">IF(NOT(ISBLANK($B$50)),TRIM(MID(SUBSTITUTE('Analysis Sheet'!$B$50,", ",REPT(" ",LEN('Analysis Sheet'!$B$50))),((COLUMNS('Analysis Sheet'!$B$50:$B$50)-(OFFSET('Values Table'!AG2,0,0)))*LEN('Analysis Sheet'!$B$50))+1,LEN('Analysis Sheet'!$B$50))))</f>
        <v/>
      </c>
      <c r="V50" s="49" t="str">
        <f ca="1">IF(NOT(ISBLANK($B$50)),TRIM(MID(SUBSTITUTE('Analysis Sheet'!$B$50,", ",REPT(" ",LEN('Analysis Sheet'!$B$50))),((COLUMNS('Analysis Sheet'!$B$50:$B$50)-(OFFSET('Values Table'!AH2,0,0)))*LEN('Analysis Sheet'!$B$50))+1,LEN('Analysis Sheet'!$B$50))))</f>
        <v/>
      </c>
      <c r="W50" s="42"/>
      <c r="X50" s="20" t="str">
        <f ca="1">UNIQUE($C$44:$V$63, 7)</f>
        <v/>
      </c>
      <c r="Y50" s="21" t="str">
        <f ca="1">IFERROR(VLOOKUP('Analysis Sheet'!X50,'Values Table'!$A$2:$B$42,2,FALSE), "0")</f>
        <v>0</v>
      </c>
    </row>
    <row r="51" spans="1:26" s="3" customFormat="1" x14ac:dyDescent="0.3">
      <c r="A51" s="21" t="str">
        <f>UStrip('User Ranking Form'!A52)</f>
        <v xml:space="preserve">ESSENTIALLY WERE CONNECTING OUR PASSION FOR ENVIRONMENTALISM TO OUR DESIRE TO IMPROVE HUMANITY </v>
      </c>
      <c r="B51" s="21" t="str">
        <f>IFERROR(MatchWords('Analysis Sheet'!A51, 'Values Table'!$A$2:$B$42)," ")</f>
        <v xml:space="preserve"> </v>
      </c>
      <c r="C51" s="49" t="str">
        <f ca="1">IF(NOT(ISBLANK($B$51)),TRIM(MID(SUBSTITUTE('Analysis Sheet'!$B$51,", ",REPT(" ",LEN('Analysis Sheet'!$B$51))),((COLUMNS('Analysis Sheet'!$B$51:$B$51)-(OFFSET('Values Table'!O2,0,0)))*LEN('Analysis Sheet'!$B$51))+1,LEN('Analysis Sheet'!$B$51))))</f>
        <v/>
      </c>
      <c r="D51" s="49" t="str">
        <f ca="1">IF(NOT(ISBLANK($B$51)),TRIM(MID(SUBSTITUTE('Analysis Sheet'!$B$51,", ",REPT(" ",LEN('Analysis Sheet'!$B$51))),((COLUMNS('Analysis Sheet'!$B$51:$B$51)-(OFFSET('Values Table'!P2,0,0)))*LEN('Analysis Sheet'!$B$51))+1,LEN('Analysis Sheet'!$B$51))))</f>
        <v/>
      </c>
      <c r="E51" s="49" t="str">
        <f ca="1">IF(NOT(ISBLANK($B$51)),TRIM(MID(SUBSTITUTE('Analysis Sheet'!$B$51,", ",REPT(" ",LEN('Analysis Sheet'!$B$51))),((COLUMNS('Analysis Sheet'!$B$51:$B$51)-(OFFSET('Values Table'!Q2,0,0)))*LEN('Analysis Sheet'!$B$51))+1,LEN('Analysis Sheet'!$B$51))))</f>
        <v/>
      </c>
      <c r="F51" s="49" t="str">
        <f ca="1">IF(NOT(ISBLANK($B$51)),TRIM(MID(SUBSTITUTE('Analysis Sheet'!$B$51,", ",REPT(" ",LEN('Analysis Sheet'!$B$51))),((COLUMNS('Analysis Sheet'!$B$51:$B$51)-(OFFSET('Values Table'!R2,0,0)))*LEN('Analysis Sheet'!$B$51))+1,LEN('Analysis Sheet'!$B$51))))</f>
        <v/>
      </c>
      <c r="G51" s="49" t="str">
        <f ca="1">IF(NOT(ISBLANK($B$51)),TRIM(MID(SUBSTITUTE('Analysis Sheet'!$B$51,", ",REPT(" ",LEN('Analysis Sheet'!$B$51))),((COLUMNS('Analysis Sheet'!$B$51:$B$51)-(OFFSET('Values Table'!S2,0,0)))*LEN('Analysis Sheet'!$B$51))+1,LEN('Analysis Sheet'!$B$51))))</f>
        <v/>
      </c>
      <c r="H51" s="49" t="str">
        <f ca="1">IF(NOT(ISBLANK($B$51)),TRIM(MID(SUBSTITUTE('Analysis Sheet'!$B$51,", ",REPT(" ",LEN('Analysis Sheet'!$B$51))),((COLUMNS('Analysis Sheet'!$B$51:$B$51)-(OFFSET('Values Table'!T2,0,0)))*LEN('Analysis Sheet'!$B$51))+1,LEN('Analysis Sheet'!$B$51))))</f>
        <v/>
      </c>
      <c r="I51" s="49" t="str">
        <f ca="1">IF(NOT(ISBLANK($B$51)),TRIM(MID(SUBSTITUTE('Analysis Sheet'!$B$51,", ",REPT(" ",LEN('Analysis Sheet'!$B$51))),((COLUMNS('Analysis Sheet'!$B$51:$B$51)-(OFFSET('Values Table'!U2,0,0)))*LEN('Analysis Sheet'!$B$51))+1,LEN('Analysis Sheet'!$B$51))))</f>
        <v/>
      </c>
      <c r="J51" s="49" t="str">
        <f ca="1">IF(NOT(ISBLANK($B$51)),TRIM(MID(SUBSTITUTE('Analysis Sheet'!$B$51,", ",REPT(" ",LEN('Analysis Sheet'!$B$51))),((COLUMNS('Analysis Sheet'!$B$51:$B$51)-(OFFSET('Values Table'!V2,0,0)))*LEN('Analysis Sheet'!$B$51))+1,LEN('Analysis Sheet'!$B$51))))</f>
        <v/>
      </c>
      <c r="K51" s="49" t="str">
        <f ca="1">IF(NOT(ISBLANK($B$51)),TRIM(MID(SUBSTITUTE('Analysis Sheet'!$B$51,", ",REPT(" ",LEN('Analysis Sheet'!$B$51))),((COLUMNS('Analysis Sheet'!$B$51:$B$51)-(OFFSET('Values Table'!W2,0,0)))*LEN('Analysis Sheet'!$B$51))+1,LEN('Analysis Sheet'!$B$51))))</f>
        <v/>
      </c>
      <c r="L51" s="49" t="str">
        <f ca="1">IF(NOT(ISBLANK($B$51)),TRIM(MID(SUBSTITUTE('Analysis Sheet'!$B$51,", ",REPT(" ",LEN('Analysis Sheet'!$B$51))),((COLUMNS('Analysis Sheet'!$B$51:$B$51)-(OFFSET('Values Table'!X2,0,0)))*LEN('Analysis Sheet'!$B$51))+1,LEN('Analysis Sheet'!$B$51))))</f>
        <v/>
      </c>
      <c r="M51" s="49" t="str">
        <f ca="1">IF(NOT(ISBLANK($B$51)),TRIM(MID(SUBSTITUTE('Analysis Sheet'!$B$51,", ",REPT(" ",LEN('Analysis Sheet'!$B$51))),((COLUMNS('Analysis Sheet'!$B$51:$B$51)-(OFFSET('Values Table'!Y2,0,0)))*LEN('Analysis Sheet'!$B$51))+1,LEN('Analysis Sheet'!$B$51))))</f>
        <v/>
      </c>
      <c r="N51" s="49" t="str">
        <f ca="1">IF(NOT(ISBLANK($B$51)),TRIM(MID(SUBSTITUTE('Analysis Sheet'!$B$51,", ",REPT(" ",LEN('Analysis Sheet'!$B$51))),((COLUMNS('Analysis Sheet'!$B$51:$B$51)-(OFFSET('Values Table'!Z2,0,0)))*LEN('Analysis Sheet'!$B$51))+1,LEN('Analysis Sheet'!$B$51))))</f>
        <v/>
      </c>
      <c r="O51" s="49" t="str">
        <f ca="1">IF(NOT(ISBLANK($B$51)),TRIM(MID(SUBSTITUTE('Analysis Sheet'!$B$51,", ",REPT(" ",LEN('Analysis Sheet'!$B$51))),((COLUMNS('Analysis Sheet'!$B$51:$B$51)-(OFFSET('Values Table'!AA2,0,0)))*LEN('Analysis Sheet'!$B$51))+1,LEN('Analysis Sheet'!$B$51))))</f>
        <v/>
      </c>
      <c r="P51" s="49" t="str">
        <f ca="1">IF(NOT(ISBLANK($B$51)),TRIM(MID(SUBSTITUTE('Analysis Sheet'!$B$51,", ",REPT(" ",LEN('Analysis Sheet'!$B$51))),((COLUMNS('Analysis Sheet'!$B$51:$B$51)-(OFFSET('Values Table'!AB2,0,0)))*LEN('Analysis Sheet'!$B$51))+1,LEN('Analysis Sheet'!$B$51))))</f>
        <v/>
      </c>
      <c r="Q51" s="49" t="str">
        <f ca="1">IF(NOT(ISBLANK($B$51)),TRIM(MID(SUBSTITUTE('Analysis Sheet'!$B$51,", ",REPT(" ",LEN('Analysis Sheet'!$B$51))),((COLUMNS('Analysis Sheet'!$B$51:$B$51)-(OFFSET('Values Table'!AC2,0,0)))*LEN('Analysis Sheet'!$B$51))+1,LEN('Analysis Sheet'!$B$51))))</f>
        <v/>
      </c>
      <c r="R51" s="49" t="str">
        <f ca="1">IF(NOT(ISBLANK($B$51)),TRIM(MID(SUBSTITUTE('Analysis Sheet'!$B$51,", ",REPT(" ",LEN('Analysis Sheet'!$B$51))),((COLUMNS('Analysis Sheet'!$B$51:$B$51)-(OFFSET('Values Table'!AD2,0,0)))*LEN('Analysis Sheet'!$B$51))+1,LEN('Analysis Sheet'!$B$51))))</f>
        <v/>
      </c>
      <c r="S51" s="49" t="str">
        <f ca="1">IF(NOT(ISBLANK($B$51)),TRIM(MID(SUBSTITUTE('Analysis Sheet'!$B$51,", ",REPT(" ",LEN('Analysis Sheet'!$B$51))),((COLUMNS('Analysis Sheet'!$B$51:$B$51)-(OFFSET('Values Table'!AE2,0,0)))*LEN('Analysis Sheet'!$B$51))+1,LEN('Analysis Sheet'!$B$51))))</f>
        <v/>
      </c>
      <c r="T51" s="49" t="str">
        <f ca="1">IF(NOT(ISBLANK($B$51)),TRIM(MID(SUBSTITUTE('Analysis Sheet'!$B$51,", ",REPT(" ",LEN('Analysis Sheet'!$B$51))),((COLUMNS('Analysis Sheet'!$B$51:$B$51)-(OFFSET('Values Table'!AF2,0,0)))*LEN('Analysis Sheet'!$B$51))+1,LEN('Analysis Sheet'!$B$51))))</f>
        <v/>
      </c>
      <c r="U51" s="49" t="str">
        <f ca="1">IF(NOT(ISBLANK($B$51)),TRIM(MID(SUBSTITUTE('Analysis Sheet'!$B$51,", ",REPT(" ",LEN('Analysis Sheet'!$B$51))),((COLUMNS('Analysis Sheet'!$B$51:$B$51)-(OFFSET('Values Table'!AG2,0,0)))*LEN('Analysis Sheet'!$B$51))+1,LEN('Analysis Sheet'!$B$51))))</f>
        <v/>
      </c>
      <c r="V51" s="49" t="str">
        <f ca="1">IF(NOT(ISBLANK($B$51)),TRIM(MID(SUBSTITUTE('Analysis Sheet'!$B$51,", ",REPT(" ",LEN('Analysis Sheet'!$B$51))),((COLUMNS('Analysis Sheet'!$B$51:$B$51)-(OFFSET('Values Table'!AH2,0,0)))*LEN('Analysis Sheet'!$B$51))+1,LEN('Analysis Sheet'!$B$51))))</f>
        <v/>
      </c>
      <c r="W51" s="42"/>
      <c r="X51" s="20" t="str">
        <f ca="1">UNIQUE($C$44:$V$63, 8)</f>
        <v/>
      </c>
      <c r="Y51" s="21" t="str">
        <f ca="1">IFERROR(VLOOKUP('Analysis Sheet'!X51,'Values Table'!$A$2:$B$42,2,FALSE), "0")</f>
        <v>0</v>
      </c>
    </row>
    <row r="52" spans="1:26" s="3" customFormat="1" x14ac:dyDescent="0.3">
      <c r="A52" s="21" t="str">
        <f>UStrip('User Ranking Form'!A53)</f>
        <v/>
      </c>
      <c r="B52" s="21" t="str">
        <f>IFERROR(MatchWords('Analysis Sheet'!A52, 'Values Table'!$A$2:$B$42)," ")</f>
        <v xml:space="preserve"> </v>
      </c>
      <c r="C52" s="49" t="str">
        <f ca="1">IF(NOT(ISBLANK($B$52)),TRIM(MID(SUBSTITUTE('Analysis Sheet'!$B$52,", ",REPT(" ",LEN('Analysis Sheet'!$B$52))),((COLUMNS('Analysis Sheet'!$B$52:$B$52)-(OFFSET('Values Table'!O2,0,0)))*LEN('Analysis Sheet'!$B$52))+1,LEN('Analysis Sheet'!$B$52))))</f>
        <v/>
      </c>
      <c r="D52" s="49" t="str">
        <f ca="1">IF(NOT(ISBLANK($B$52)),TRIM(MID(SUBSTITUTE('Analysis Sheet'!$B$52,", ",REPT(" ",LEN('Analysis Sheet'!$B$52))),((COLUMNS('Analysis Sheet'!$B$52:$B$52)-(OFFSET('Values Table'!P2,0,0)))*LEN('Analysis Sheet'!$B$52))+1,LEN('Analysis Sheet'!$B$52))))</f>
        <v/>
      </c>
      <c r="E52" s="49" t="str">
        <f ca="1">IF(NOT(ISBLANK($B$52)),TRIM(MID(SUBSTITUTE('Analysis Sheet'!$B$52,", ",REPT(" ",LEN('Analysis Sheet'!$B$52))),((COLUMNS('Analysis Sheet'!$B$52:$B$52)-(OFFSET('Values Table'!Q2,0,0)))*LEN('Analysis Sheet'!$B$52))+1,LEN('Analysis Sheet'!$B$52))))</f>
        <v/>
      </c>
      <c r="F52" s="49" t="str">
        <f ca="1">IF(NOT(ISBLANK($B$52)),TRIM(MID(SUBSTITUTE('Analysis Sheet'!$B$52,", ",REPT(" ",LEN('Analysis Sheet'!$B$52))),((COLUMNS('Analysis Sheet'!$B$52:$B$52)-(OFFSET('Values Table'!R2,0,0)))*LEN('Analysis Sheet'!$B$52))+1,LEN('Analysis Sheet'!$B$52))))</f>
        <v/>
      </c>
      <c r="G52" s="49" t="str">
        <f ca="1">IF(NOT(ISBLANK($B$52)),TRIM(MID(SUBSTITUTE('Analysis Sheet'!$B$52,", ",REPT(" ",LEN('Analysis Sheet'!$B$52))),((COLUMNS('Analysis Sheet'!$B$52:$B$52)-(OFFSET('Values Table'!S2,0,0)))*LEN('Analysis Sheet'!$B$52))+1,LEN('Analysis Sheet'!$B$52))))</f>
        <v/>
      </c>
      <c r="H52" s="49" t="str">
        <f ca="1">IF(NOT(ISBLANK($B$52)),TRIM(MID(SUBSTITUTE('Analysis Sheet'!$B$52,", ",REPT(" ",LEN('Analysis Sheet'!$B$52))),((COLUMNS('Analysis Sheet'!$B$52:$B$52)-(OFFSET('Values Table'!T2,0,0)))*LEN('Analysis Sheet'!$B$52))+1,LEN('Analysis Sheet'!$B$52))))</f>
        <v/>
      </c>
      <c r="I52" s="49" t="str">
        <f ca="1">IF(NOT(ISBLANK($B$52)),TRIM(MID(SUBSTITUTE('Analysis Sheet'!$B$52,", ",REPT(" ",LEN('Analysis Sheet'!$B$52))),((COLUMNS('Analysis Sheet'!$B$52:$B$52)-(OFFSET('Values Table'!U2,0,0)))*LEN('Analysis Sheet'!$B$52))+1,LEN('Analysis Sheet'!$B$52))))</f>
        <v/>
      </c>
      <c r="J52" s="49" t="str">
        <f ca="1">IF(NOT(ISBLANK($B$52)),TRIM(MID(SUBSTITUTE('Analysis Sheet'!$B$52,", ",REPT(" ",LEN('Analysis Sheet'!$B$52))),((COLUMNS('Analysis Sheet'!$B$52:$B$52)-(OFFSET('Values Table'!V2,0,0)))*LEN('Analysis Sheet'!$B$52))+1,LEN('Analysis Sheet'!$B$52))))</f>
        <v/>
      </c>
      <c r="K52" s="49" t="str">
        <f ca="1">IF(NOT(ISBLANK($B$52)),TRIM(MID(SUBSTITUTE('Analysis Sheet'!$B$52,", ",REPT(" ",LEN('Analysis Sheet'!$B$52))),((COLUMNS('Analysis Sheet'!$B$52:$B$52)-(OFFSET('Values Table'!W2,0,0)))*LEN('Analysis Sheet'!$B$52))+1,LEN('Analysis Sheet'!$B$52))))</f>
        <v/>
      </c>
      <c r="L52" s="49" t="str">
        <f ca="1">IF(NOT(ISBLANK($B$52)),TRIM(MID(SUBSTITUTE('Analysis Sheet'!$B$52,", ",REPT(" ",LEN('Analysis Sheet'!$B$52))),((COLUMNS('Analysis Sheet'!$B$52:$B$52)-(OFFSET('Values Table'!X2,0,0)))*LEN('Analysis Sheet'!$B$52))+1,LEN('Analysis Sheet'!$B$52))))</f>
        <v/>
      </c>
      <c r="M52" s="49" t="str">
        <f ca="1">IF(NOT(ISBLANK($B$52)),TRIM(MID(SUBSTITUTE('Analysis Sheet'!$B$52,", ",REPT(" ",LEN('Analysis Sheet'!$B$52))),((COLUMNS('Analysis Sheet'!$B$52:$B$52)-(OFFSET('Values Table'!Y2,0,0)))*LEN('Analysis Sheet'!$B$52))+1,LEN('Analysis Sheet'!$B$52))))</f>
        <v/>
      </c>
      <c r="N52" s="49" t="str">
        <f ca="1">IF(NOT(ISBLANK($B$52)),TRIM(MID(SUBSTITUTE('Analysis Sheet'!$B$52,", ",REPT(" ",LEN('Analysis Sheet'!$B$52))),((COLUMNS('Analysis Sheet'!$B$52:$B$52)-(OFFSET('Values Table'!Z2,0,0)))*LEN('Analysis Sheet'!$B$52))+1,LEN('Analysis Sheet'!$B$52))))</f>
        <v/>
      </c>
      <c r="O52" s="49" t="str">
        <f ca="1">IF(NOT(ISBLANK($B$52)),TRIM(MID(SUBSTITUTE('Analysis Sheet'!$B$52,", ",REPT(" ",LEN('Analysis Sheet'!$B$52))),((COLUMNS('Analysis Sheet'!$B$52:$B$52)-(OFFSET('Values Table'!AA2,0,0)))*LEN('Analysis Sheet'!$B$52))+1,LEN('Analysis Sheet'!$B$52))))</f>
        <v/>
      </c>
      <c r="P52" s="49" t="str">
        <f ca="1">IF(NOT(ISBLANK($B$52)),TRIM(MID(SUBSTITUTE('Analysis Sheet'!$B$52,", ",REPT(" ",LEN('Analysis Sheet'!$B$52))),((COLUMNS('Analysis Sheet'!$B$52:$B$52)-(OFFSET('Values Table'!AB2,0,0)))*LEN('Analysis Sheet'!$B$52))+1,LEN('Analysis Sheet'!$B$52))))</f>
        <v/>
      </c>
      <c r="Q52" s="49" t="str">
        <f ca="1">IF(NOT(ISBLANK($B$52)),TRIM(MID(SUBSTITUTE('Analysis Sheet'!$B$52,", ",REPT(" ",LEN('Analysis Sheet'!$B$52))),((COLUMNS('Analysis Sheet'!$B$52:$B$52)-(OFFSET('Values Table'!AC2,0,0)))*LEN('Analysis Sheet'!$B$52))+1,LEN('Analysis Sheet'!$B$52))))</f>
        <v/>
      </c>
      <c r="R52" s="49" t="str">
        <f ca="1">IF(NOT(ISBLANK($B$52)),TRIM(MID(SUBSTITUTE('Analysis Sheet'!$B$52,", ",REPT(" ",LEN('Analysis Sheet'!$B$52))),((COLUMNS('Analysis Sheet'!$B$52:$B$52)-(OFFSET('Values Table'!AD2,0,0)))*LEN('Analysis Sheet'!$B$52))+1,LEN('Analysis Sheet'!$B$52))))</f>
        <v/>
      </c>
      <c r="S52" s="49" t="str">
        <f ca="1">IF(NOT(ISBLANK($B$52)),TRIM(MID(SUBSTITUTE('Analysis Sheet'!$B$52,", ",REPT(" ",LEN('Analysis Sheet'!$B$52))),((COLUMNS('Analysis Sheet'!$B$52:$B$52)-(OFFSET('Values Table'!AE2,0,0)))*LEN('Analysis Sheet'!$B$52))+1,LEN('Analysis Sheet'!$B$52))))</f>
        <v/>
      </c>
      <c r="T52" s="49" t="str">
        <f ca="1">IF(NOT(ISBLANK($B$52)),TRIM(MID(SUBSTITUTE('Analysis Sheet'!$B$52,", ",REPT(" ",LEN('Analysis Sheet'!$B$52))),((COLUMNS('Analysis Sheet'!$B$52:$B$52)-(OFFSET('Values Table'!AF2,0,0)))*LEN('Analysis Sheet'!$B$52))+1,LEN('Analysis Sheet'!$B$52))))</f>
        <v/>
      </c>
      <c r="U52" s="49" t="str">
        <f ca="1">IF(NOT(ISBLANK($B$52)),TRIM(MID(SUBSTITUTE('Analysis Sheet'!$B$52,", ",REPT(" ",LEN('Analysis Sheet'!$B$52))),((COLUMNS('Analysis Sheet'!$B$52:$B$52)-(OFFSET('Values Table'!AG2,0,0)))*LEN('Analysis Sheet'!$B$52))+1,LEN('Analysis Sheet'!$B$52))))</f>
        <v/>
      </c>
      <c r="V52" s="49" t="str">
        <f ca="1">IF(NOT(ISBLANK($B$52)),TRIM(MID(SUBSTITUTE('Analysis Sheet'!$B$52,", ",REPT(" ",LEN('Analysis Sheet'!$B$52))),((COLUMNS('Analysis Sheet'!$B$52:$B$52)-(OFFSET('Values Table'!AH2,0,0)))*LEN('Analysis Sheet'!$B$52))+1,LEN('Analysis Sheet'!$B$52))))</f>
        <v/>
      </c>
      <c r="W52" s="42"/>
      <c r="X52" s="20" t="str">
        <f ca="1">UNIQUE($C$44:$V$63, 9)</f>
        <v/>
      </c>
      <c r="Y52" s="21" t="str">
        <f ca="1">IFERROR(VLOOKUP('Analysis Sheet'!X52,'Values Table'!$A$2:$B$42,2,FALSE), "0")</f>
        <v>0</v>
      </c>
    </row>
    <row r="53" spans="1:26" s="3" customFormat="1" x14ac:dyDescent="0.3">
      <c r="A53" s="21" t="str">
        <f>UStrip('User Ranking Form'!A54)</f>
        <v/>
      </c>
      <c r="B53" s="21" t="str">
        <f>IFERROR(MatchWords('Analysis Sheet'!A53, 'Values Table'!$A$2:$B$42)," ")</f>
        <v xml:space="preserve"> </v>
      </c>
      <c r="C53" s="49" t="str">
        <f ca="1">IF(NOT(ISBLANK($B$53)),TRIM(MID(SUBSTITUTE('Analysis Sheet'!$B$53,", ",REPT(" ",LEN('Analysis Sheet'!$B$53))),((COLUMNS('Analysis Sheet'!$B$53:$B$53)-(OFFSET('Values Table'!O2,0,0)))*LEN('Analysis Sheet'!$B$53))+1,LEN('Analysis Sheet'!$B$53))))</f>
        <v/>
      </c>
      <c r="D53" s="49" t="str">
        <f ca="1">IF(NOT(ISBLANK($B$53)),TRIM(MID(SUBSTITUTE('Analysis Sheet'!$B$53,", ",REPT(" ",LEN('Analysis Sheet'!$B$53))),((COLUMNS('Analysis Sheet'!$B$53:$B$53)-(OFFSET('Values Table'!P2,0,0)))*LEN('Analysis Sheet'!$B$53))+1,LEN('Analysis Sheet'!$B$53))))</f>
        <v/>
      </c>
      <c r="E53" s="49" t="str">
        <f ca="1">IF(NOT(ISBLANK($B$53)),TRIM(MID(SUBSTITUTE('Analysis Sheet'!$B$53,", ",REPT(" ",LEN('Analysis Sheet'!$B$53))),((COLUMNS('Analysis Sheet'!$B$53:$B$53)-(OFFSET('Values Table'!Q2,0,0)))*LEN('Analysis Sheet'!$B$53))+1,LEN('Analysis Sheet'!$B$53))))</f>
        <v/>
      </c>
      <c r="F53" s="49" t="str">
        <f ca="1">IF(NOT(ISBLANK($B$53)),TRIM(MID(SUBSTITUTE('Analysis Sheet'!$B$53,", ",REPT(" ",LEN('Analysis Sheet'!$B$53))),((COLUMNS('Analysis Sheet'!$B$53:$B$53)-(OFFSET('Values Table'!R2,0,0)))*LEN('Analysis Sheet'!$B$53))+1,LEN('Analysis Sheet'!$B$53))))</f>
        <v/>
      </c>
      <c r="G53" s="49" t="str">
        <f ca="1">IF(NOT(ISBLANK($B$53)),TRIM(MID(SUBSTITUTE('Analysis Sheet'!$B$53,", ",REPT(" ",LEN('Analysis Sheet'!$B$53))),((COLUMNS('Analysis Sheet'!$B$53:$B$53)-(OFFSET('Values Table'!S2,0,0)))*LEN('Analysis Sheet'!$B$53))+1,LEN('Analysis Sheet'!$B$53))))</f>
        <v/>
      </c>
      <c r="H53" s="49" t="str">
        <f ca="1">IF(NOT(ISBLANK($B$53)),TRIM(MID(SUBSTITUTE('Analysis Sheet'!$B$53,", ",REPT(" ",LEN('Analysis Sheet'!$B$53))),((COLUMNS('Analysis Sheet'!$B$53:$B$53)-(OFFSET('Values Table'!T2,0,0)))*LEN('Analysis Sheet'!$B$53))+1,LEN('Analysis Sheet'!$B$53))))</f>
        <v/>
      </c>
      <c r="I53" s="49" t="str">
        <f ca="1">IF(NOT(ISBLANK($B$53)),TRIM(MID(SUBSTITUTE('Analysis Sheet'!$B$53,", ",REPT(" ",LEN('Analysis Sheet'!$B$53))),((COLUMNS('Analysis Sheet'!$B$53:$B$53)-(OFFSET('Values Table'!U2,0,0)))*LEN('Analysis Sheet'!$B$53))+1,LEN('Analysis Sheet'!$B$53))))</f>
        <v/>
      </c>
      <c r="J53" s="49" t="str">
        <f ca="1">IF(NOT(ISBLANK($B$53)),TRIM(MID(SUBSTITUTE('Analysis Sheet'!$B$53,", ",REPT(" ",LEN('Analysis Sheet'!$B$53))),((COLUMNS('Analysis Sheet'!$B$53:$B$53)-(OFFSET('Values Table'!V2,0,0)))*LEN('Analysis Sheet'!$B$53))+1,LEN('Analysis Sheet'!$B$53))))</f>
        <v/>
      </c>
      <c r="K53" s="49" t="str">
        <f ca="1">IF(NOT(ISBLANK($B$53)),TRIM(MID(SUBSTITUTE('Analysis Sheet'!$B$53,", ",REPT(" ",LEN('Analysis Sheet'!$B$53))),((COLUMNS('Analysis Sheet'!$B$53:$B$53)-(OFFSET('Values Table'!W2,0,0)))*LEN('Analysis Sheet'!$B$53))+1,LEN('Analysis Sheet'!$B$53))))</f>
        <v/>
      </c>
      <c r="L53" s="49" t="str">
        <f ca="1">IF(NOT(ISBLANK($B$53)),TRIM(MID(SUBSTITUTE('Analysis Sheet'!$B$53,", ",REPT(" ",LEN('Analysis Sheet'!$B$53))),((COLUMNS('Analysis Sheet'!$B$53:$B$53)-(OFFSET('Values Table'!X2,0,0)))*LEN('Analysis Sheet'!$B$53))+1,LEN('Analysis Sheet'!$B$53))))</f>
        <v/>
      </c>
      <c r="M53" s="49" t="str">
        <f ca="1">IF(NOT(ISBLANK($B$53)),TRIM(MID(SUBSTITUTE('Analysis Sheet'!$B$53,", ",REPT(" ",LEN('Analysis Sheet'!$B$53))),((COLUMNS('Analysis Sheet'!$B$53:$B$53)-(OFFSET('Values Table'!Y2,0,0)))*LEN('Analysis Sheet'!$B$53))+1,LEN('Analysis Sheet'!$B$53))))</f>
        <v/>
      </c>
      <c r="N53" s="49" t="str">
        <f ca="1">IF(NOT(ISBLANK($B$53)),TRIM(MID(SUBSTITUTE('Analysis Sheet'!$B$53,", ",REPT(" ",LEN('Analysis Sheet'!$B$53))),((COLUMNS('Analysis Sheet'!$B$53:$B$53)-(OFFSET('Values Table'!Z2,0,0)))*LEN('Analysis Sheet'!$B$53))+1,LEN('Analysis Sheet'!$B$53))))</f>
        <v/>
      </c>
      <c r="O53" s="49" t="str">
        <f ca="1">IF(NOT(ISBLANK($B$53)),TRIM(MID(SUBSTITUTE('Analysis Sheet'!$B$53,", ",REPT(" ",LEN('Analysis Sheet'!$B$53))),((COLUMNS('Analysis Sheet'!$B$53:$B$53)-(OFFSET('Values Table'!AA2,0,0)))*LEN('Analysis Sheet'!$B$53))+1,LEN('Analysis Sheet'!$B$53))))</f>
        <v/>
      </c>
      <c r="P53" s="49" t="str">
        <f ca="1">IF(NOT(ISBLANK($B$53)),TRIM(MID(SUBSTITUTE('Analysis Sheet'!$B$53,", ",REPT(" ",LEN('Analysis Sheet'!$B$53))),((COLUMNS('Analysis Sheet'!$B$53:$B$53)-(OFFSET('Values Table'!AB2,0,0)))*LEN('Analysis Sheet'!$B$53))+1,LEN('Analysis Sheet'!$B$53))))</f>
        <v/>
      </c>
      <c r="Q53" s="49" t="str">
        <f ca="1">IF(NOT(ISBLANK($B$53)),TRIM(MID(SUBSTITUTE('Analysis Sheet'!$B$53,", ",REPT(" ",LEN('Analysis Sheet'!$B$53))),((COLUMNS('Analysis Sheet'!$B$53:$B$53)-(OFFSET('Values Table'!AC2,0,0)))*LEN('Analysis Sheet'!$B$53))+1,LEN('Analysis Sheet'!$B$53))))</f>
        <v/>
      </c>
      <c r="R53" s="49" t="str">
        <f ca="1">IF(NOT(ISBLANK($B$53)),TRIM(MID(SUBSTITUTE('Analysis Sheet'!$B$53,", ",REPT(" ",LEN('Analysis Sheet'!$B$53))),((COLUMNS('Analysis Sheet'!$B$53:$B$53)-(OFFSET('Values Table'!AD2,0,0)))*LEN('Analysis Sheet'!$B$53))+1,LEN('Analysis Sheet'!$B$53))))</f>
        <v/>
      </c>
      <c r="S53" s="49" t="str">
        <f ca="1">IF(NOT(ISBLANK($B$53)),TRIM(MID(SUBSTITUTE('Analysis Sheet'!$B$53,", ",REPT(" ",LEN('Analysis Sheet'!$B$53))),((COLUMNS('Analysis Sheet'!$B$53:$B$53)-(OFFSET('Values Table'!AE2,0,0)))*LEN('Analysis Sheet'!$B$53))+1,LEN('Analysis Sheet'!$B$53))))</f>
        <v/>
      </c>
      <c r="T53" s="49" t="str">
        <f ca="1">IF(NOT(ISBLANK($B$53)),TRIM(MID(SUBSTITUTE('Analysis Sheet'!$B$53,", ",REPT(" ",LEN('Analysis Sheet'!$B$53))),((COLUMNS('Analysis Sheet'!$B$53:$B$53)-(OFFSET('Values Table'!AF2,0,0)))*LEN('Analysis Sheet'!$B$53))+1,LEN('Analysis Sheet'!$B$53))))</f>
        <v/>
      </c>
      <c r="U53" s="49" t="str">
        <f ca="1">IF(NOT(ISBLANK($B$53)),TRIM(MID(SUBSTITUTE('Analysis Sheet'!$B$53,", ",REPT(" ",LEN('Analysis Sheet'!$B$53))),((COLUMNS('Analysis Sheet'!$B$53:$B$53)-(OFFSET('Values Table'!AG2,0,0)))*LEN('Analysis Sheet'!$B$53))+1,LEN('Analysis Sheet'!$B$53))))</f>
        <v/>
      </c>
      <c r="V53" s="49" t="str">
        <f ca="1">IF(NOT(ISBLANK($B$53)),TRIM(MID(SUBSTITUTE('Analysis Sheet'!$B$53,", ",REPT(" ",LEN('Analysis Sheet'!$B$53))),((COLUMNS('Analysis Sheet'!$B$53:$B$53)-(OFFSET('Values Table'!AH2,0,0)))*LEN('Analysis Sheet'!$B$53))+1,LEN('Analysis Sheet'!$B$53))))</f>
        <v/>
      </c>
      <c r="W53" s="42"/>
      <c r="X53" s="20" t="str">
        <f ca="1">UNIQUE($C$44:$V$63, 10)</f>
        <v/>
      </c>
      <c r="Y53" s="21" t="str">
        <f ca="1">IFERROR(VLOOKUP('Analysis Sheet'!X53,'Values Table'!$A$2:$B$42,2,FALSE), "0")</f>
        <v>0</v>
      </c>
    </row>
    <row r="54" spans="1:26" s="3" customFormat="1" x14ac:dyDescent="0.3">
      <c r="A54" s="21" t="str">
        <f>UStrip('User Ranking Form'!A55)</f>
        <v/>
      </c>
      <c r="B54" s="21" t="str">
        <f>IFERROR(MatchWords('Analysis Sheet'!A54, 'Values Table'!$A$2:$B$42)," ")</f>
        <v xml:space="preserve"> </v>
      </c>
      <c r="C54" s="49" t="str">
        <f ca="1">IF(NOT(ISBLANK($B$54)),TRIM(MID(SUBSTITUTE('Analysis Sheet'!$B$54,", ",REPT(" ",LEN('Analysis Sheet'!$B$54))),((COLUMNS('Analysis Sheet'!$B$54:$B$54)-(OFFSET('Values Table'!O2,0,0)))*LEN('Analysis Sheet'!$B$54))+1,LEN('Analysis Sheet'!$B$54))))</f>
        <v/>
      </c>
      <c r="D54" s="49" t="str">
        <f ca="1">IF(NOT(ISBLANK($B$54)),TRIM(MID(SUBSTITUTE('Analysis Sheet'!$B$54,", ",REPT(" ",LEN('Analysis Sheet'!$B$54))),((COLUMNS('Analysis Sheet'!$B$54:$B$54)-(OFFSET('Values Table'!P2,0,0)))*LEN('Analysis Sheet'!$B$54))+1,LEN('Analysis Sheet'!$B$54))))</f>
        <v/>
      </c>
      <c r="E54" s="49" t="str">
        <f ca="1">IF(NOT(ISBLANK($B$54)),TRIM(MID(SUBSTITUTE('Analysis Sheet'!$B$54,", ",REPT(" ",LEN('Analysis Sheet'!$B$54))),((COLUMNS('Analysis Sheet'!$B$54:$B$54)-(OFFSET('Values Table'!Q2,0,0)))*LEN('Analysis Sheet'!$B$54))+1,LEN('Analysis Sheet'!$B$54))))</f>
        <v/>
      </c>
      <c r="F54" s="49" t="str">
        <f ca="1">IF(NOT(ISBLANK($B$54)),TRIM(MID(SUBSTITUTE('Analysis Sheet'!$B$54,", ",REPT(" ",LEN('Analysis Sheet'!$B$54))),((COLUMNS('Analysis Sheet'!$B$54:$B$54)-(OFFSET('Values Table'!R2,0,0)))*LEN('Analysis Sheet'!$B$54))+1,LEN('Analysis Sheet'!$B$54))))</f>
        <v/>
      </c>
      <c r="G54" s="49" t="str">
        <f ca="1">IF(NOT(ISBLANK($B$54)),TRIM(MID(SUBSTITUTE('Analysis Sheet'!$B$54,", ",REPT(" ",LEN('Analysis Sheet'!$B$54))),((COLUMNS('Analysis Sheet'!$B$54:$B$54)-(OFFSET('Values Table'!S2,0,0)))*LEN('Analysis Sheet'!$B$54))+1,LEN('Analysis Sheet'!$B$54))))</f>
        <v/>
      </c>
      <c r="H54" s="49" t="str">
        <f ca="1">IF(NOT(ISBLANK($B$54)),TRIM(MID(SUBSTITUTE('Analysis Sheet'!$B$54,", ",REPT(" ",LEN('Analysis Sheet'!$B$54))),((COLUMNS('Analysis Sheet'!$B$54:$B$54)-(OFFSET('Values Table'!T2,0,0)))*LEN('Analysis Sheet'!$B$54))+1,LEN('Analysis Sheet'!$B$54))))</f>
        <v/>
      </c>
      <c r="I54" s="49" t="str">
        <f ca="1">IF(NOT(ISBLANK($B$54)),TRIM(MID(SUBSTITUTE('Analysis Sheet'!$B$54,", ",REPT(" ",LEN('Analysis Sheet'!$B$54))),((COLUMNS('Analysis Sheet'!$B$54:$B$54)-(OFFSET('Values Table'!U2,0,0)))*LEN('Analysis Sheet'!$B$54))+1,LEN('Analysis Sheet'!$B$54))))</f>
        <v/>
      </c>
      <c r="J54" s="49" t="str">
        <f ca="1">IF(NOT(ISBLANK($B$54)),TRIM(MID(SUBSTITUTE('Analysis Sheet'!$B$54,", ",REPT(" ",LEN('Analysis Sheet'!$B$54))),((COLUMNS('Analysis Sheet'!$B$54:$B$54)-(OFFSET('Values Table'!V2,0,0)))*LEN('Analysis Sheet'!$B$54))+1,LEN('Analysis Sheet'!$B$54))))</f>
        <v/>
      </c>
      <c r="K54" s="49" t="str">
        <f ca="1">IF(NOT(ISBLANK($B$54)),TRIM(MID(SUBSTITUTE('Analysis Sheet'!$B$54,", ",REPT(" ",LEN('Analysis Sheet'!$B$54))),((COLUMNS('Analysis Sheet'!$B$54:$B$54)-(OFFSET('Values Table'!W2,0,0)))*LEN('Analysis Sheet'!$B$54))+1,LEN('Analysis Sheet'!$B$54))))</f>
        <v/>
      </c>
      <c r="L54" s="49" t="str">
        <f ca="1">IF(NOT(ISBLANK($B$54)),TRIM(MID(SUBSTITUTE('Analysis Sheet'!$B$54,", ",REPT(" ",LEN('Analysis Sheet'!$B$54))),((COLUMNS('Analysis Sheet'!$B$54:$B$54)-(OFFSET('Values Table'!X2,0,0)))*LEN('Analysis Sheet'!$B$54))+1,LEN('Analysis Sheet'!$B$54))))</f>
        <v/>
      </c>
      <c r="M54" s="49" t="str">
        <f ca="1">IF(NOT(ISBLANK($B$54)),TRIM(MID(SUBSTITUTE('Analysis Sheet'!$B$54,", ",REPT(" ",LEN('Analysis Sheet'!$B$54))),((COLUMNS('Analysis Sheet'!$B$54:$B$54)-(OFFSET('Values Table'!Y2,0,0)))*LEN('Analysis Sheet'!$B$54))+1,LEN('Analysis Sheet'!$B$54))))</f>
        <v/>
      </c>
      <c r="N54" s="49" t="str">
        <f ca="1">IF(NOT(ISBLANK($B$54)),TRIM(MID(SUBSTITUTE('Analysis Sheet'!$B$54,", ",REPT(" ",LEN('Analysis Sheet'!$B$54))),((COLUMNS('Analysis Sheet'!$B$54:$B$54)-(OFFSET('Values Table'!Z2,0,0)))*LEN('Analysis Sheet'!$B$54))+1,LEN('Analysis Sheet'!$B$54))))</f>
        <v/>
      </c>
      <c r="O54" s="49" t="str">
        <f ca="1">IF(NOT(ISBLANK($B$54)),TRIM(MID(SUBSTITUTE('Analysis Sheet'!$B$54,", ",REPT(" ",LEN('Analysis Sheet'!$B$54))),((COLUMNS('Analysis Sheet'!$B$54:$B$54)-(OFFSET('Values Table'!AA2,0,0)))*LEN('Analysis Sheet'!$B$54))+1,LEN('Analysis Sheet'!$B$54))))</f>
        <v/>
      </c>
      <c r="P54" s="49" t="str">
        <f ca="1">IF(NOT(ISBLANK($B$54)),TRIM(MID(SUBSTITUTE('Analysis Sheet'!$B$54,", ",REPT(" ",LEN('Analysis Sheet'!$B$54))),((COLUMNS('Analysis Sheet'!$B$54:$B$54)-(OFFSET('Values Table'!AB2,0,0)))*LEN('Analysis Sheet'!$B$54))+1,LEN('Analysis Sheet'!$B$54))))</f>
        <v/>
      </c>
      <c r="Q54" s="49" t="str">
        <f ca="1">IF(NOT(ISBLANK($B$54)),TRIM(MID(SUBSTITUTE('Analysis Sheet'!$B$54,", ",REPT(" ",LEN('Analysis Sheet'!$B$54))),((COLUMNS('Analysis Sheet'!$B$54:$B$54)-(OFFSET('Values Table'!AC2,0,0)))*LEN('Analysis Sheet'!$B$54))+1,LEN('Analysis Sheet'!$B$54))))</f>
        <v/>
      </c>
      <c r="R54" s="49" t="str">
        <f ca="1">IF(NOT(ISBLANK($B$54)),TRIM(MID(SUBSTITUTE('Analysis Sheet'!$B$54,", ",REPT(" ",LEN('Analysis Sheet'!$B$54))),((COLUMNS('Analysis Sheet'!$B$54:$B$54)-(OFFSET('Values Table'!AD2,0,0)))*LEN('Analysis Sheet'!$B$54))+1,LEN('Analysis Sheet'!$B$54))))</f>
        <v/>
      </c>
      <c r="S54" s="49" t="str">
        <f ca="1">IF(NOT(ISBLANK($B$54)),TRIM(MID(SUBSTITUTE('Analysis Sheet'!$B$54,", ",REPT(" ",LEN('Analysis Sheet'!$B$54))),((COLUMNS('Analysis Sheet'!$B$54:$B$54)-(OFFSET('Values Table'!AE2,0,0)))*LEN('Analysis Sheet'!$B$54))+1,LEN('Analysis Sheet'!$B$54))))</f>
        <v/>
      </c>
      <c r="T54" s="49" t="str">
        <f ca="1">IF(NOT(ISBLANK($B$54)),TRIM(MID(SUBSTITUTE('Analysis Sheet'!$B$54,", ",REPT(" ",LEN('Analysis Sheet'!$B$54))),((COLUMNS('Analysis Sheet'!$B$54:$B$54)-(OFFSET('Values Table'!AF2,0,0)))*LEN('Analysis Sheet'!$B$54))+1,LEN('Analysis Sheet'!$B$54))))</f>
        <v/>
      </c>
      <c r="U54" s="49" t="str">
        <f ca="1">IF(NOT(ISBLANK($B$54)),TRIM(MID(SUBSTITUTE('Analysis Sheet'!$B$54,", ",REPT(" ",LEN('Analysis Sheet'!$B$54))),((COLUMNS('Analysis Sheet'!$B$54:$B$54)-(OFFSET('Values Table'!AG2,0,0)))*LEN('Analysis Sheet'!$B$54))+1,LEN('Analysis Sheet'!$B$54))))</f>
        <v/>
      </c>
      <c r="V54" s="49" t="str">
        <f ca="1">IF(NOT(ISBLANK($B$54)),TRIM(MID(SUBSTITUTE('Analysis Sheet'!$B$54,", ",REPT(" ",LEN('Analysis Sheet'!$B$54))),((COLUMNS('Analysis Sheet'!$B$54:$B$54)-(OFFSET('Values Table'!AH2,0,0)))*LEN('Analysis Sheet'!$B$54))+1,LEN('Analysis Sheet'!$B$54))))</f>
        <v/>
      </c>
      <c r="W54" s="42"/>
      <c r="X54" s="20" t="str">
        <f ca="1">UNIQUE($C$44:$V$63, 11)</f>
        <v/>
      </c>
      <c r="Y54" s="21" t="str">
        <f ca="1">IFERROR(VLOOKUP('Analysis Sheet'!X54,'Values Table'!$A$2:$B$42,2,FALSE), "0")</f>
        <v>0</v>
      </c>
    </row>
    <row r="55" spans="1:26" s="3" customFormat="1" x14ac:dyDescent="0.3">
      <c r="A55" s="21" t="str">
        <f>UStrip('User Ranking Form'!A56)</f>
        <v/>
      </c>
      <c r="B55" s="21" t="str">
        <f>IFERROR(MatchWords('Analysis Sheet'!A55, 'Values Table'!$A$2:$B$42)," ")</f>
        <v xml:space="preserve"> </v>
      </c>
      <c r="C55" s="49" t="str">
        <f ca="1">IF(NOT(ISBLANK($B$55)),TRIM(MID(SUBSTITUTE('Analysis Sheet'!$B$55,", ",REPT(" ",LEN('Analysis Sheet'!$B$55))),((COLUMNS('Analysis Sheet'!$B$55:$B$55)-(OFFSET('Values Table'!O2,0,0)))*LEN('Analysis Sheet'!$B$55))+1,LEN('Analysis Sheet'!$B$55))))</f>
        <v/>
      </c>
      <c r="D55" s="49" t="str">
        <f ca="1">IF(NOT(ISBLANK($B$55)),TRIM(MID(SUBSTITUTE('Analysis Sheet'!$B$55,", ",REPT(" ",LEN('Analysis Sheet'!$B$55))),((COLUMNS('Analysis Sheet'!$B$55:$B$55)-(OFFSET('Values Table'!P2,0,0)))*LEN('Analysis Sheet'!$B$55))+1,LEN('Analysis Sheet'!$B$55))))</f>
        <v/>
      </c>
      <c r="E55" s="49" t="str">
        <f ca="1">IF(NOT(ISBLANK($B$55)),TRIM(MID(SUBSTITUTE('Analysis Sheet'!$B$55,", ",REPT(" ",LEN('Analysis Sheet'!$B$55))),((COLUMNS('Analysis Sheet'!$B$55:$B$55)-(OFFSET('Values Table'!Q2,0,0)))*LEN('Analysis Sheet'!$B$55))+1,LEN('Analysis Sheet'!$B$55))))</f>
        <v/>
      </c>
      <c r="F55" s="49" t="str">
        <f ca="1">IF(NOT(ISBLANK($B$55)),TRIM(MID(SUBSTITUTE('Analysis Sheet'!$B$55,", ",REPT(" ",LEN('Analysis Sheet'!$B$55))),((COLUMNS('Analysis Sheet'!$B$55:$B$55)-(OFFSET('Values Table'!R2,0,0)))*LEN('Analysis Sheet'!$B$55))+1,LEN('Analysis Sheet'!$B$55))))</f>
        <v/>
      </c>
      <c r="G55" s="49" t="str">
        <f ca="1">IF(NOT(ISBLANK($B$55)),TRIM(MID(SUBSTITUTE('Analysis Sheet'!$B$55,", ",REPT(" ",LEN('Analysis Sheet'!$B$55))),((COLUMNS('Analysis Sheet'!$B$55:$B$55)-(OFFSET('Values Table'!S2,0,0)))*LEN('Analysis Sheet'!$B$55))+1,LEN('Analysis Sheet'!$B$55))))</f>
        <v/>
      </c>
      <c r="H55" s="49" t="str">
        <f ca="1">IF(NOT(ISBLANK($B$55)),TRIM(MID(SUBSTITUTE('Analysis Sheet'!$B$55,", ",REPT(" ",LEN('Analysis Sheet'!$B$55))),((COLUMNS('Analysis Sheet'!$B$55:$B$55)-(OFFSET('Values Table'!T2,0,0)))*LEN('Analysis Sheet'!$B$55))+1,LEN('Analysis Sheet'!$B$55))))</f>
        <v/>
      </c>
      <c r="I55" s="49" t="str">
        <f ca="1">IF(NOT(ISBLANK($B$55)),TRIM(MID(SUBSTITUTE('Analysis Sheet'!$B$55,", ",REPT(" ",LEN('Analysis Sheet'!$B$55))),((COLUMNS('Analysis Sheet'!$B$55:$B$55)-(OFFSET('Values Table'!U2,0,0)))*LEN('Analysis Sheet'!$B$55))+1,LEN('Analysis Sheet'!$B$55))))</f>
        <v/>
      </c>
      <c r="J55" s="49" t="str">
        <f ca="1">IF(NOT(ISBLANK($B$55)),TRIM(MID(SUBSTITUTE('Analysis Sheet'!$B$55,", ",REPT(" ",LEN('Analysis Sheet'!$B$55))),((COLUMNS('Analysis Sheet'!$B$55:$B$55)-(OFFSET('Values Table'!V2,0,0)))*LEN('Analysis Sheet'!$B$55))+1,LEN('Analysis Sheet'!$B$55))))</f>
        <v/>
      </c>
      <c r="K55" s="49" t="str">
        <f ca="1">IF(NOT(ISBLANK($B$55)),TRIM(MID(SUBSTITUTE('Analysis Sheet'!$B$55,", ",REPT(" ",LEN('Analysis Sheet'!$B$55))),((COLUMNS('Analysis Sheet'!$B$55:$B$55)-(OFFSET('Values Table'!W2,0,0)))*LEN('Analysis Sheet'!$B$55))+1,LEN('Analysis Sheet'!$B$55))))</f>
        <v/>
      </c>
      <c r="L55" s="49" t="str">
        <f ca="1">IF(NOT(ISBLANK($B$55)),TRIM(MID(SUBSTITUTE('Analysis Sheet'!$B$55,", ",REPT(" ",LEN('Analysis Sheet'!$B$55))),((COLUMNS('Analysis Sheet'!$B$55:$B$55)-(OFFSET('Values Table'!X2,0,0)))*LEN('Analysis Sheet'!$B$55))+1,LEN('Analysis Sheet'!$B$55))))</f>
        <v/>
      </c>
      <c r="M55" s="49" t="str">
        <f ca="1">IF(NOT(ISBLANK($B$55)),TRIM(MID(SUBSTITUTE('Analysis Sheet'!$B$55,", ",REPT(" ",LEN('Analysis Sheet'!$B$55))),((COLUMNS('Analysis Sheet'!$B$55:$B$55)-(OFFSET('Values Table'!Y2,0,0)))*LEN('Analysis Sheet'!$B$55))+1,LEN('Analysis Sheet'!$B$55))))</f>
        <v/>
      </c>
      <c r="N55" s="49" t="str">
        <f ca="1">IF(NOT(ISBLANK($B$55)),TRIM(MID(SUBSTITUTE('Analysis Sheet'!$B$55,", ",REPT(" ",LEN('Analysis Sheet'!$B$55))),((COLUMNS('Analysis Sheet'!$B$55:$B$55)-(OFFSET('Values Table'!Z2,0,0)))*LEN('Analysis Sheet'!$B$55))+1,LEN('Analysis Sheet'!$B$55))))</f>
        <v/>
      </c>
      <c r="O55" s="49" t="str">
        <f ca="1">IF(NOT(ISBLANK($B$55)),TRIM(MID(SUBSTITUTE('Analysis Sheet'!$B$55,", ",REPT(" ",LEN('Analysis Sheet'!$B$55))),((COLUMNS('Analysis Sheet'!$B$55:$B$55)-(OFFSET('Values Table'!AA2,0,0)))*LEN('Analysis Sheet'!$B$55))+1,LEN('Analysis Sheet'!$B$55))))</f>
        <v/>
      </c>
      <c r="P55" s="49" t="str">
        <f ca="1">IF(NOT(ISBLANK($B$55)),TRIM(MID(SUBSTITUTE('Analysis Sheet'!$B$55,", ",REPT(" ",LEN('Analysis Sheet'!$B$55))),((COLUMNS('Analysis Sheet'!$B$55:$B$55)-(OFFSET('Values Table'!AB2,0,0)))*LEN('Analysis Sheet'!$B$55))+1,LEN('Analysis Sheet'!$B$55))))</f>
        <v/>
      </c>
      <c r="Q55" s="49" t="str">
        <f ca="1">IF(NOT(ISBLANK($B$55)),TRIM(MID(SUBSTITUTE('Analysis Sheet'!$B$55,", ",REPT(" ",LEN('Analysis Sheet'!$B$55))),((COLUMNS('Analysis Sheet'!$B$55:$B$55)-(OFFSET('Values Table'!AC2,0,0)))*LEN('Analysis Sheet'!$B$55))+1,LEN('Analysis Sheet'!$B$55))))</f>
        <v/>
      </c>
      <c r="R55" s="49" t="str">
        <f ca="1">IF(NOT(ISBLANK($B$55)),TRIM(MID(SUBSTITUTE('Analysis Sheet'!$B$55,", ",REPT(" ",LEN('Analysis Sheet'!$B$55))),((COLUMNS('Analysis Sheet'!$B$55:$B$55)-(OFFSET('Values Table'!AD2,0,0)))*LEN('Analysis Sheet'!$B$55))+1,LEN('Analysis Sheet'!$B$55))))</f>
        <v/>
      </c>
      <c r="S55" s="49" t="str">
        <f ca="1">IF(NOT(ISBLANK($B$55)),TRIM(MID(SUBSTITUTE('Analysis Sheet'!$B$55,", ",REPT(" ",LEN('Analysis Sheet'!$B$55))),((COLUMNS('Analysis Sheet'!$B$55:$B$55)-(OFFSET('Values Table'!AE2,0,0)))*LEN('Analysis Sheet'!$B$55))+1,LEN('Analysis Sheet'!$B$55))))</f>
        <v/>
      </c>
      <c r="T55" s="49" t="str">
        <f ca="1">IF(NOT(ISBLANK($B$55)),TRIM(MID(SUBSTITUTE('Analysis Sheet'!$B$55,", ",REPT(" ",LEN('Analysis Sheet'!$B$55))),((COLUMNS('Analysis Sheet'!$B$55:$B$55)-(OFFSET('Values Table'!AF2,0,0)))*LEN('Analysis Sheet'!$B$55))+1,LEN('Analysis Sheet'!$B$55))))</f>
        <v/>
      </c>
      <c r="U55" s="49" t="str">
        <f ca="1">IF(NOT(ISBLANK($B$55)),TRIM(MID(SUBSTITUTE('Analysis Sheet'!$B$55,", ",REPT(" ",LEN('Analysis Sheet'!$B$55))),((COLUMNS('Analysis Sheet'!$B$55:$B$55)-(OFFSET('Values Table'!AG2,0,0)))*LEN('Analysis Sheet'!$B$55))+1,LEN('Analysis Sheet'!$B$55))))</f>
        <v/>
      </c>
      <c r="V55" s="49" t="str">
        <f ca="1">IF(NOT(ISBLANK($B$55)),TRIM(MID(SUBSTITUTE('Analysis Sheet'!$B$55,", ",REPT(" ",LEN('Analysis Sheet'!$B$55))),((COLUMNS('Analysis Sheet'!$B$55:$B$55)-(OFFSET('Values Table'!AH2,0,0)))*LEN('Analysis Sheet'!$B$55))+1,LEN('Analysis Sheet'!$B$55))))</f>
        <v/>
      </c>
      <c r="W55" s="42"/>
      <c r="X55" s="20" t="str">
        <f ca="1">UNIQUE($C$44:$V$63, 12)</f>
        <v/>
      </c>
      <c r="Y55" s="21" t="str">
        <f ca="1">IFERROR(VLOOKUP('Analysis Sheet'!X55,'Values Table'!$A$2:$B$42,2,FALSE), "0")</f>
        <v>0</v>
      </c>
    </row>
    <row r="56" spans="1:26" s="3" customFormat="1" x14ac:dyDescent="0.3">
      <c r="A56" s="21" t="str">
        <f>UStrip('User Ranking Form'!A57)</f>
        <v/>
      </c>
      <c r="B56" s="21" t="str">
        <f>IFERROR(MatchWords('Analysis Sheet'!A56, 'Values Table'!$A$2:$B$42)," ")</f>
        <v xml:space="preserve"> </v>
      </c>
      <c r="C56" s="49" t="str">
        <f ca="1">IF(NOT(ISBLANK($B$56)),TRIM(MID(SUBSTITUTE('Analysis Sheet'!$B$56,", ",REPT(" ",LEN('Analysis Sheet'!$B$56))),((COLUMNS('Analysis Sheet'!$B$56:$B$56)-(OFFSET('Values Table'!O2,0,0)))*LEN('Analysis Sheet'!$B$56))+1,LEN('Analysis Sheet'!$B$56))))</f>
        <v/>
      </c>
      <c r="D56" s="49" t="str">
        <f ca="1">IF(NOT(ISBLANK($B$56)),TRIM(MID(SUBSTITUTE('Analysis Sheet'!$B$56,", ",REPT(" ",LEN('Analysis Sheet'!$B$56))),((COLUMNS('Analysis Sheet'!$B$56:$B$56)-(OFFSET('Values Table'!P2,0,0)))*LEN('Analysis Sheet'!$B$56))+1,LEN('Analysis Sheet'!$B$56))))</f>
        <v/>
      </c>
      <c r="E56" s="49" t="str">
        <f ca="1">IF(NOT(ISBLANK($B$56)),TRIM(MID(SUBSTITUTE('Analysis Sheet'!$B$56,", ",REPT(" ",LEN('Analysis Sheet'!$B$56))),((COLUMNS('Analysis Sheet'!$B$56:$B$56)-(OFFSET('Values Table'!Q2,0,0)))*LEN('Analysis Sheet'!$B$56))+1,LEN('Analysis Sheet'!$B$56))))</f>
        <v/>
      </c>
      <c r="F56" s="49" t="str">
        <f ca="1">IF(NOT(ISBLANK($B$56)),TRIM(MID(SUBSTITUTE('Analysis Sheet'!$B$56,", ",REPT(" ",LEN('Analysis Sheet'!$B$56))),((COLUMNS('Analysis Sheet'!$B$56:$B$56)-(OFFSET('Values Table'!R2,0,0)))*LEN('Analysis Sheet'!$B$56))+1,LEN('Analysis Sheet'!$B$56))))</f>
        <v/>
      </c>
      <c r="G56" s="49" t="str">
        <f ca="1">IF(NOT(ISBLANK($B$56)),TRIM(MID(SUBSTITUTE('Analysis Sheet'!$B$56,", ",REPT(" ",LEN('Analysis Sheet'!$B$56))),((COLUMNS('Analysis Sheet'!$B$56:$B$56)-(OFFSET('Values Table'!S2,0,0)))*LEN('Analysis Sheet'!$B$56))+1,LEN('Analysis Sheet'!$B$56))))</f>
        <v/>
      </c>
      <c r="H56" s="49" t="str">
        <f ca="1">IF(NOT(ISBLANK($B$56)),TRIM(MID(SUBSTITUTE('Analysis Sheet'!$B$56,", ",REPT(" ",LEN('Analysis Sheet'!$B$56))),((COLUMNS('Analysis Sheet'!$B$56:$B$56)-(OFFSET('Values Table'!T2,0,0)))*LEN('Analysis Sheet'!$B$56))+1,LEN('Analysis Sheet'!$B$56))))</f>
        <v/>
      </c>
      <c r="I56" s="49" t="str">
        <f ca="1">IF(NOT(ISBLANK($B$56)),TRIM(MID(SUBSTITUTE('Analysis Sheet'!$B$56,", ",REPT(" ",LEN('Analysis Sheet'!$B$56))),((COLUMNS('Analysis Sheet'!$B$56:$B$56)-(OFFSET('Values Table'!U2,0,0)))*LEN('Analysis Sheet'!$B$56))+1,LEN('Analysis Sheet'!$B$56))))</f>
        <v/>
      </c>
      <c r="J56" s="49" t="str">
        <f ca="1">IF(NOT(ISBLANK($B$56)),TRIM(MID(SUBSTITUTE('Analysis Sheet'!$B$56,", ",REPT(" ",LEN('Analysis Sheet'!$B$56))),((COLUMNS('Analysis Sheet'!$B$56:$B$56)-(OFFSET('Values Table'!V2,0,0)))*LEN('Analysis Sheet'!$B$56))+1,LEN('Analysis Sheet'!$B$56))))</f>
        <v/>
      </c>
      <c r="K56" s="49" t="str">
        <f ca="1">IF(NOT(ISBLANK($B$56)),TRIM(MID(SUBSTITUTE('Analysis Sheet'!$B$56,", ",REPT(" ",LEN('Analysis Sheet'!$B$56))),((COLUMNS('Analysis Sheet'!$B$56:$B$56)-(OFFSET('Values Table'!W2,0,0)))*LEN('Analysis Sheet'!$B$56))+1,LEN('Analysis Sheet'!$B$56))))</f>
        <v/>
      </c>
      <c r="L56" s="49" t="str">
        <f ca="1">IF(NOT(ISBLANK($B$56)),TRIM(MID(SUBSTITUTE('Analysis Sheet'!$B$56,", ",REPT(" ",LEN('Analysis Sheet'!$B$56))),((COLUMNS('Analysis Sheet'!$B$56:$B$56)-(OFFSET('Values Table'!X2,0,0)))*LEN('Analysis Sheet'!$B$56))+1,LEN('Analysis Sheet'!$B$56))))</f>
        <v/>
      </c>
      <c r="M56" s="49" t="str">
        <f ca="1">IF(NOT(ISBLANK($B$56)),TRIM(MID(SUBSTITUTE('Analysis Sheet'!$B$56,", ",REPT(" ",LEN('Analysis Sheet'!$B$56))),((COLUMNS('Analysis Sheet'!$B$56:$B$56)-(OFFSET('Values Table'!Y2,0,0)))*LEN('Analysis Sheet'!$B$56))+1,LEN('Analysis Sheet'!$B$56))))</f>
        <v/>
      </c>
      <c r="N56" s="49" t="str">
        <f ca="1">IF(NOT(ISBLANK($B$56)),TRIM(MID(SUBSTITUTE('Analysis Sheet'!$B$56,", ",REPT(" ",LEN('Analysis Sheet'!$B$56))),((COLUMNS('Analysis Sheet'!$B$56:$B$56)-(OFFSET('Values Table'!Z2,0,0)))*LEN('Analysis Sheet'!$B$56))+1,LEN('Analysis Sheet'!$B$56))))</f>
        <v/>
      </c>
      <c r="O56" s="49" t="str">
        <f ca="1">IF(NOT(ISBLANK($B$56)),TRIM(MID(SUBSTITUTE('Analysis Sheet'!$B$56,", ",REPT(" ",LEN('Analysis Sheet'!$B$56))),((COLUMNS('Analysis Sheet'!$B$56:$B$56)-(OFFSET('Values Table'!AA2,0,0)))*LEN('Analysis Sheet'!$B$56))+1,LEN('Analysis Sheet'!$B$56))))</f>
        <v/>
      </c>
      <c r="P56" s="49" t="str">
        <f ca="1">IF(NOT(ISBLANK($B$56)),TRIM(MID(SUBSTITUTE('Analysis Sheet'!$B$56,", ",REPT(" ",LEN('Analysis Sheet'!$B$56))),((COLUMNS('Analysis Sheet'!$B$56:$B$56)-(OFFSET('Values Table'!AB2,0,0)))*LEN('Analysis Sheet'!$B$56))+1,LEN('Analysis Sheet'!$B$56))))</f>
        <v/>
      </c>
      <c r="Q56" s="49" t="str">
        <f ca="1">IF(NOT(ISBLANK($B$56)),TRIM(MID(SUBSTITUTE('Analysis Sheet'!$B$56,", ",REPT(" ",LEN('Analysis Sheet'!$B$56))),((COLUMNS('Analysis Sheet'!$B$56:$B$56)-(OFFSET('Values Table'!AC2,0,0)))*LEN('Analysis Sheet'!$B$56))+1,LEN('Analysis Sheet'!$B$56))))</f>
        <v/>
      </c>
      <c r="R56" s="49" t="str">
        <f ca="1">IF(NOT(ISBLANK($B$56)),TRIM(MID(SUBSTITUTE('Analysis Sheet'!$B$56,", ",REPT(" ",LEN('Analysis Sheet'!$B$56))),((COLUMNS('Analysis Sheet'!$B$56:$B$56)-(OFFSET('Values Table'!AD2,0,0)))*LEN('Analysis Sheet'!$B$56))+1,LEN('Analysis Sheet'!$B$56))))</f>
        <v/>
      </c>
      <c r="S56" s="49" t="str">
        <f ca="1">IF(NOT(ISBLANK($B$56)),TRIM(MID(SUBSTITUTE('Analysis Sheet'!$B$56,", ",REPT(" ",LEN('Analysis Sheet'!$B$56))),((COLUMNS('Analysis Sheet'!$B$56:$B$56)-(OFFSET('Values Table'!AE2,0,0)))*LEN('Analysis Sheet'!$B$56))+1,LEN('Analysis Sheet'!$B$56))))</f>
        <v/>
      </c>
      <c r="T56" s="49" t="str">
        <f ca="1">IF(NOT(ISBLANK($B$56)),TRIM(MID(SUBSTITUTE('Analysis Sheet'!$B$56,", ",REPT(" ",LEN('Analysis Sheet'!$B$56))),((COLUMNS('Analysis Sheet'!$B$56:$B$56)-(OFFSET('Values Table'!AF2,0,0)))*LEN('Analysis Sheet'!$B$56))+1,LEN('Analysis Sheet'!$B$56))))</f>
        <v/>
      </c>
      <c r="U56" s="49" t="str">
        <f ca="1">IF(NOT(ISBLANK($B$56)),TRIM(MID(SUBSTITUTE('Analysis Sheet'!$B$56,", ",REPT(" ",LEN('Analysis Sheet'!$B$56))),((COLUMNS('Analysis Sheet'!$B$56:$B$56)-(OFFSET('Values Table'!AG2,0,0)))*LEN('Analysis Sheet'!$B$56))+1,LEN('Analysis Sheet'!$B$56))))</f>
        <v/>
      </c>
      <c r="V56" s="49" t="str">
        <f ca="1">IF(NOT(ISBLANK($B$56)),TRIM(MID(SUBSTITUTE('Analysis Sheet'!$B$56,", ",REPT(" ",LEN('Analysis Sheet'!$B$56))),((COLUMNS('Analysis Sheet'!$B$56:$B$56)-(OFFSET('Values Table'!AH2,0,0)))*LEN('Analysis Sheet'!$B$56))+1,LEN('Analysis Sheet'!$B$56))))</f>
        <v/>
      </c>
      <c r="W56" s="42"/>
      <c r="X56" s="20" t="str">
        <f ca="1">UNIQUE($C$44:$V$63, 13)</f>
        <v/>
      </c>
      <c r="Y56" s="21" t="str">
        <f ca="1">IFERROR(VLOOKUP('Analysis Sheet'!X56,'Values Table'!$A$2:$B$42,2,FALSE), "0")</f>
        <v>0</v>
      </c>
    </row>
    <row r="57" spans="1:26" s="3" customFormat="1" x14ac:dyDescent="0.3">
      <c r="A57" s="21" t="str">
        <f>UStrip('User Ranking Form'!A58)</f>
        <v/>
      </c>
      <c r="B57" s="21" t="str">
        <f>IFERROR(MatchWords('Analysis Sheet'!A57, 'Values Table'!$A$2:$B$42)," ")</f>
        <v xml:space="preserve"> </v>
      </c>
      <c r="C57" s="49" t="str">
        <f ca="1">IF(NOT(ISBLANK($B$57)),TRIM(MID(SUBSTITUTE('Analysis Sheet'!$B$57,", ",REPT(" ",LEN('Analysis Sheet'!$B$57))),((COLUMNS('Analysis Sheet'!$B$57:$B$57)-(OFFSET('Values Table'!O2,0,0)))*LEN('Analysis Sheet'!$B$57))+1,LEN('Analysis Sheet'!$B$57))))</f>
        <v/>
      </c>
      <c r="D57" s="49" t="str">
        <f ca="1">IF(NOT(ISBLANK($B$57)),TRIM(MID(SUBSTITUTE('Analysis Sheet'!$B$57,", ",REPT(" ",LEN('Analysis Sheet'!$B$57))),((COLUMNS('Analysis Sheet'!$B$57:$B$57)-(OFFSET('Values Table'!P2,0,0)))*LEN('Analysis Sheet'!$B$57))+1,LEN('Analysis Sheet'!$B$57))))</f>
        <v/>
      </c>
      <c r="E57" s="49" t="str">
        <f ca="1">IF(NOT(ISBLANK($B$57)),TRIM(MID(SUBSTITUTE('Analysis Sheet'!$B$57,", ",REPT(" ",LEN('Analysis Sheet'!$B$57))),((COLUMNS('Analysis Sheet'!$B$57:$B$57)-(OFFSET('Values Table'!Q2,0,0)))*LEN('Analysis Sheet'!$B$57))+1,LEN('Analysis Sheet'!$B$57))))</f>
        <v/>
      </c>
      <c r="F57" s="49" t="str">
        <f ca="1">IF(NOT(ISBLANK($B$57)),TRIM(MID(SUBSTITUTE('Analysis Sheet'!$B$57,", ",REPT(" ",LEN('Analysis Sheet'!$B$57))),((COLUMNS('Analysis Sheet'!$B$57:$B$57)-(OFFSET('Values Table'!R2,0,0)))*LEN('Analysis Sheet'!$B$57))+1,LEN('Analysis Sheet'!$B$57))))</f>
        <v/>
      </c>
      <c r="G57" s="49" t="str">
        <f ca="1">IF(NOT(ISBLANK($B$57)),TRIM(MID(SUBSTITUTE('Analysis Sheet'!$B$57,", ",REPT(" ",LEN('Analysis Sheet'!$B$57))),((COLUMNS('Analysis Sheet'!$B$57:$B$57)-(OFFSET('Values Table'!S2,0,0)))*LEN('Analysis Sheet'!$B$57))+1,LEN('Analysis Sheet'!$B$57))))</f>
        <v/>
      </c>
      <c r="H57" s="49" t="str">
        <f ca="1">IF(NOT(ISBLANK($B$57)),TRIM(MID(SUBSTITUTE('Analysis Sheet'!$B$57,", ",REPT(" ",LEN('Analysis Sheet'!$B$57))),((COLUMNS('Analysis Sheet'!$B$57:$B$57)-(OFFSET('Values Table'!T2,0,0)))*LEN('Analysis Sheet'!$B$57))+1,LEN('Analysis Sheet'!$B$57))))</f>
        <v/>
      </c>
      <c r="I57" s="49" t="str">
        <f ca="1">IF(NOT(ISBLANK($B$57)),TRIM(MID(SUBSTITUTE('Analysis Sheet'!$B$57,", ",REPT(" ",LEN('Analysis Sheet'!$B$57))),((COLUMNS('Analysis Sheet'!$B$57:$B$57)-(OFFSET('Values Table'!U2,0,0)))*LEN('Analysis Sheet'!$B$57))+1,LEN('Analysis Sheet'!$B$57))))</f>
        <v/>
      </c>
      <c r="J57" s="49" t="str">
        <f ca="1">IF(NOT(ISBLANK($B$57)),TRIM(MID(SUBSTITUTE('Analysis Sheet'!$B$57,", ",REPT(" ",LEN('Analysis Sheet'!$B$57))),((COLUMNS('Analysis Sheet'!$B$57:$B$57)-(OFFSET('Values Table'!V2,0,0)))*LEN('Analysis Sheet'!$B$57))+1,LEN('Analysis Sheet'!$B$57))))</f>
        <v/>
      </c>
      <c r="K57" s="49" t="str">
        <f ca="1">IF(NOT(ISBLANK($B$57)),TRIM(MID(SUBSTITUTE('Analysis Sheet'!$B$57,", ",REPT(" ",LEN('Analysis Sheet'!$B$57))),((COLUMNS('Analysis Sheet'!$B$57:$B$57)-(OFFSET('Values Table'!W2,0,0)))*LEN('Analysis Sheet'!$B$57))+1,LEN('Analysis Sheet'!$B$57))))</f>
        <v/>
      </c>
      <c r="L57" s="49" t="str">
        <f ca="1">IF(NOT(ISBLANK($B$57)),TRIM(MID(SUBSTITUTE('Analysis Sheet'!$B$57,", ",REPT(" ",LEN('Analysis Sheet'!$B$57))),((COLUMNS('Analysis Sheet'!$B$57:$B$57)-(OFFSET('Values Table'!X2,0,0)))*LEN('Analysis Sheet'!$B$57))+1,LEN('Analysis Sheet'!$B$57))))</f>
        <v/>
      </c>
      <c r="M57" s="49" t="str">
        <f ca="1">IF(NOT(ISBLANK($B$57)),TRIM(MID(SUBSTITUTE('Analysis Sheet'!$B$57,", ",REPT(" ",LEN('Analysis Sheet'!$B$57))),((COLUMNS('Analysis Sheet'!$B$57:$B$57)-(OFFSET('Values Table'!Y2,0,0)))*LEN('Analysis Sheet'!$B$57))+1,LEN('Analysis Sheet'!$B$57))))</f>
        <v/>
      </c>
      <c r="N57" s="49" t="str">
        <f ca="1">IF(NOT(ISBLANK($B$57)),TRIM(MID(SUBSTITUTE('Analysis Sheet'!$B$57,", ",REPT(" ",LEN('Analysis Sheet'!$B$57))),((COLUMNS('Analysis Sheet'!$B$57:$B$57)-(OFFSET('Values Table'!Z2,0,0)))*LEN('Analysis Sheet'!$B$57))+1,LEN('Analysis Sheet'!$B$57))))</f>
        <v/>
      </c>
      <c r="O57" s="49" t="str">
        <f ca="1">IF(NOT(ISBLANK($B$57)),TRIM(MID(SUBSTITUTE('Analysis Sheet'!$B$57,", ",REPT(" ",LEN('Analysis Sheet'!$B$57))),((COLUMNS('Analysis Sheet'!$B$57:$B$57)-(OFFSET('Values Table'!AA2,0,0)))*LEN('Analysis Sheet'!$B$57))+1,LEN('Analysis Sheet'!$B$57))))</f>
        <v/>
      </c>
      <c r="P57" s="49" t="str">
        <f ca="1">IF(NOT(ISBLANK($B$57)),TRIM(MID(SUBSTITUTE('Analysis Sheet'!$B$57,", ",REPT(" ",LEN('Analysis Sheet'!$B$57))),((COLUMNS('Analysis Sheet'!$B$57:$B$57)-(OFFSET('Values Table'!AB2,0,0)))*LEN('Analysis Sheet'!$B$57))+1,LEN('Analysis Sheet'!$B$57))))</f>
        <v/>
      </c>
      <c r="Q57" s="49" t="str">
        <f ca="1">IF(NOT(ISBLANK($B$57)),TRIM(MID(SUBSTITUTE('Analysis Sheet'!$B$57,", ",REPT(" ",LEN('Analysis Sheet'!$B$57))),((COLUMNS('Analysis Sheet'!$B$57:$B$57)-(OFFSET('Values Table'!AC2,0,0)))*LEN('Analysis Sheet'!$B$57))+1,LEN('Analysis Sheet'!$B$57))))</f>
        <v/>
      </c>
      <c r="R57" s="49" t="str">
        <f ca="1">IF(NOT(ISBLANK($B$57)),TRIM(MID(SUBSTITUTE('Analysis Sheet'!$B$57,", ",REPT(" ",LEN('Analysis Sheet'!$B$57))),((COLUMNS('Analysis Sheet'!$B$57:$B$57)-(OFFSET('Values Table'!AD2,0,0)))*LEN('Analysis Sheet'!$B$57))+1,LEN('Analysis Sheet'!$B$57))))</f>
        <v/>
      </c>
      <c r="S57" s="49" t="str">
        <f ca="1">IF(NOT(ISBLANK($B$57)),TRIM(MID(SUBSTITUTE('Analysis Sheet'!$B$57,", ",REPT(" ",LEN('Analysis Sheet'!$B$57))),((COLUMNS('Analysis Sheet'!$B$57:$B$57)-(OFFSET('Values Table'!AE2,0,0)))*LEN('Analysis Sheet'!$B$57))+1,LEN('Analysis Sheet'!$B$57))))</f>
        <v/>
      </c>
      <c r="T57" s="49" t="str">
        <f ca="1">IF(NOT(ISBLANK($B$57)),TRIM(MID(SUBSTITUTE('Analysis Sheet'!$B$57,", ",REPT(" ",LEN('Analysis Sheet'!$B$57))),((COLUMNS('Analysis Sheet'!$B$57:$B$57)-(OFFSET('Values Table'!AF2,0,0)))*LEN('Analysis Sheet'!$B$57))+1,LEN('Analysis Sheet'!$B$57))))</f>
        <v/>
      </c>
      <c r="U57" s="49" t="str">
        <f ca="1">IF(NOT(ISBLANK($B$57)),TRIM(MID(SUBSTITUTE('Analysis Sheet'!$B$57,", ",REPT(" ",LEN('Analysis Sheet'!$B$57))),((COLUMNS('Analysis Sheet'!$B$57:$B$57)-(OFFSET('Values Table'!AG2,0,0)))*LEN('Analysis Sheet'!$B$57))+1,LEN('Analysis Sheet'!$B$57))))</f>
        <v/>
      </c>
      <c r="V57" s="49" t="str">
        <f ca="1">IF(NOT(ISBLANK($B$57)),TRIM(MID(SUBSTITUTE('Analysis Sheet'!$B$57,", ",REPT(" ",LEN('Analysis Sheet'!$B$57))),((COLUMNS('Analysis Sheet'!$B$57:$B$57)-(OFFSET('Values Table'!AH2,0,0)))*LEN('Analysis Sheet'!$B$57))+1,LEN('Analysis Sheet'!$B$57))))</f>
        <v/>
      </c>
      <c r="W57" s="42"/>
      <c r="X57" s="20" t="str">
        <f ca="1">UNIQUE($C$44:$V$63, 14)</f>
        <v/>
      </c>
      <c r="Y57" s="21" t="str">
        <f ca="1">IFERROR(VLOOKUP('Analysis Sheet'!X57,'Values Table'!$A$2:$B$42,2,FALSE), "0")</f>
        <v>0</v>
      </c>
    </row>
    <row r="58" spans="1:26" s="3" customFormat="1" x14ac:dyDescent="0.3">
      <c r="A58" s="21" t="str">
        <f>UStrip('User Ranking Form'!A59)</f>
        <v/>
      </c>
      <c r="B58" s="21" t="str">
        <f>IFERROR(MatchWords('Analysis Sheet'!A58, 'Values Table'!$A$2:$B$42)," ")</f>
        <v xml:space="preserve"> </v>
      </c>
      <c r="C58" s="49" t="str">
        <f ca="1">IF(NOT(ISBLANK($B$58)),TRIM(MID(SUBSTITUTE('Analysis Sheet'!$B$58,", ",REPT(" ",LEN('Analysis Sheet'!$B$58))),((COLUMNS('Analysis Sheet'!$B$58:$B$58)-(OFFSET('Values Table'!O2,0,0)))*LEN('Analysis Sheet'!$B$58))+1,LEN('Analysis Sheet'!$B$58))))</f>
        <v/>
      </c>
      <c r="D58" s="49" t="str">
        <f ca="1">IF(NOT(ISBLANK($B$58)),TRIM(MID(SUBSTITUTE('Analysis Sheet'!$B$58,", ",REPT(" ",LEN('Analysis Sheet'!$B$58))),((COLUMNS('Analysis Sheet'!$B$58:$B$58)-(OFFSET('Values Table'!P2,0,0)))*LEN('Analysis Sheet'!$B$58))+1,LEN('Analysis Sheet'!$B$58))))</f>
        <v/>
      </c>
      <c r="E58" s="49" t="str">
        <f ca="1">IF(NOT(ISBLANK($B$58)),TRIM(MID(SUBSTITUTE('Analysis Sheet'!$B$58,", ",REPT(" ",LEN('Analysis Sheet'!$B$58))),((COLUMNS('Analysis Sheet'!$B$58:$B$58)-(OFFSET('Values Table'!Q2,0,0)))*LEN('Analysis Sheet'!$B$58))+1,LEN('Analysis Sheet'!$B$58))))</f>
        <v/>
      </c>
      <c r="F58" s="49" t="str">
        <f ca="1">IF(NOT(ISBLANK($B$58)),TRIM(MID(SUBSTITUTE('Analysis Sheet'!$B$58,", ",REPT(" ",LEN('Analysis Sheet'!$B$58))),((COLUMNS('Analysis Sheet'!$B$58:$B$58)-(OFFSET('Values Table'!R2,0,0)))*LEN('Analysis Sheet'!$B$58))+1,LEN('Analysis Sheet'!$B$58))))</f>
        <v/>
      </c>
      <c r="G58" s="49" t="str">
        <f ca="1">IF(NOT(ISBLANK($B$58)),TRIM(MID(SUBSTITUTE('Analysis Sheet'!$B$58,", ",REPT(" ",LEN('Analysis Sheet'!$B$58))),((COLUMNS('Analysis Sheet'!$B$58:$B$58)-(OFFSET('Values Table'!S2,0,0)))*LEN('Analysis Sheet'!$B$58))+1,LEN('Analysis Sheet'!$B$58))))</f>
        <v/>
      </c>
      <c r="H58" s="49" t="str">
        <f ca="1">IF(NOT(ISBLANK($B$58)),TRIM(MID(SUBSTITUTE('Analysis Sheet'!$B$58,", ",REPT(" ",LEN('Analysis Sheet'!$B$58))),((COLUMNS('Analysis Sheet'!$B$58:$B$58)-(OFFSET('Values Table'!T2,0,0)))*LEN('Analysis Sheet'!$B$58))+1,LEN('Analysis Sheet'!$B$58))))</f>
        <v/>
      </c>
      <c r="I58" s="49" t="str">
        <f ca="1">IF(NOT(ISBLANK($B$58)),TRIM(MID(SUBSTITUTE('Analysis Sheet'!$B$58,", ",REPT(" ",LEN('Analysis Sheet'!$B$58))),((COLUMNS('Analysis Sheet'!$B$58:$B$58)-(OFFSET('Values Table'!U2,0,0)))*LEN('Analysis Sheet'!$B$58))+1,LEN('Analysis Sheet'!$B$58))))</f>
        <v/>
      </c>
      <c r="J58" s="49" t="str">
        <f ca="1">IF(NOT(ISBLANK($B$58)),TRIM(MID(SUBSTITUTE('Analysis Sheet'!$B$58,", ",REPT(" ",LEN('Analysis Sheet'!$B$58))),((COLUMNS('Analysis Sheet'!$B$58:$B$58)-(OFFSET('Values Table'!V2,0,0)))*LEN('Analysis Sheet'!$B$58))+1,LEN('Analysis Sheet'!$B$58))))</f>
        <v/>
      </c>
      <c r="K58" s="49" t="str">
        <f ca="1">IF(NOT(ISBLANK($B$58)),TRIM(MID(SUBSTITUTE('Analysis Sheet'!$B$58,", ",REPT(" ",LEN('Analysis Sheet'!$B$58))),((COLUMNS('Analysis Sheet'!$B$58:$B$58)-(OFFSET('Values Table'!W2,0,0)))*LEN('Analysis Sheet'!$B$58))+1,LEN('Analysis Sheet'!$B$58))))</f>
        <v/>
      </c>
      <c r="L58" s="49" t="str">
        <f ca="1">IF(NOT(ISBLANK($B$58)),TRIM(MID(SUBSTITUTE('Analysis Sheet'!$B$58,", ",REPT(" ",LEN('Analysis Sheet'!$B$58))),((COLUMNS('Analysis Sheet'!$B$58:$B$58)-(OFFSET('Values Table'!X2,0,0)))*LEN('Analysis Sheet'!$B$58))+1,LEN('Analysis Sheet'!$B$58))))</f>
        <v/>
      </c>
      <c r="M58" s="49" t="str">
        <f ca="1">IF(NOT(ISBLANK($B$58)),TRIM(MID(SUBSTITUTE('Analysis Sheet'!$B$58,", ",REPT(" ",LEN('Analysis Sheet'!$B$58))),((COLUMNS('Analysis Sheet'!$B$58:$B$58)-(OFFSET('Values Table'!Y2,0,0)))*LEN('Analysis Sheet'!$B$58))+1,LEN('Analysis Sheet'!$B$58))))</f>
        <v/>
      </c>
      <c r="N58" s="49" t="str">
        <f ca="1">IF(NOT(ISBLANK($B$58)),TRIM(MID(SUBSTITUTE('Analysis Sheet'!$B$58,", ",REPT(" ",LEN('Analysis Sheet'!$B$58))),((COLUMNS('Analysis Sheet'!$B$58:$B$58)-(OFFSET('Values Table'!Z2,0,0)))*LEN('Analysis Sheet'!$B$58))+1,LEN('Analysis Sheet'!$B$58))))</f>
        <v/>
      </c>
      <c r="O58" s="49" t="str">
        <f ca="1">IF(NOT(ISBLANK($B$58)),TRIM(MID(SUBSTITUTE('Analysis Sheet'!$B$58,", ",REPT(" ",LEN('Analysis Sheet'!$B$58))),((COLUMNS('Analysis Sheet'!$B$58:$B$58)-(OFFSET('Values Table'!AA2,0,0)))*LEN('Analysis Sheet'!$B$58))+1,LEN('Analysis Sheet'!$B$58))))</f>
        <v/>
      </c>
      <c r="P58" s="49" t="str">
        <f ca="1">IF(NOT(ISBLANK($B$58)),TRIM(MID(SUBSTITUTE('Analysis Sheet'!$B$58,", ",REPT(" ",LEN('Analysis Sheet'!$B$58))),((COLUMNS('Analysis Sheet'!$B$58:$B$58)-(OFFSET('Values Table'!AB2,0,0)))*LEN('Analysis Sheet'!$B$58))+1,LEN('Analysis Sheet'!$B$58))))</f>
        <v/>
      </c>
      <c r="Q58" s="49" t="str">
        <f ca="1">IF(NOT(ISBLANK($B$58)),TRIM(MID(SUBSTITUTE('Analysis Sheet'!$B$58,", ",REPT(" ",LEN('Analysis Sheet'!$B$58))),((COLUMNS('Analysis Sheet'!$B$58:$B$58)-(OFFSET('Values Table'!AC2,0,0)))*LEN('Analysis Sheet'!$B$58))+1,LEN('Analysis Sheet'!$B$58))))</f>
        <v/>
      </c>
      <c r="R58" s="49" t="str">
        <f ca="1">IF(NOT(ISBLANK($B$58)),TRIM(MID(SUBSTITUTE('Analysis Sheet'!$B$58,", ",REPT(" ",LEN('Analysis Sheet'!$B$58))),((COLUMNS('Analysis Sheet'!$B$58:$B$58)-(OFFSET('Values Table'!AD2,0,0)))*LEN('Analysis Sheet'!$B$58))+1,LEN('Analysis Sheet'!$B$58))))</f>
        <v/>
      </c>
      <c r="S58" s="49" t="str">
        <f ca="1">IF(NOT(ISBLANK($B$58)),TRIM(MID(SUBSTITUTE('Analysis Sheet'!$B$58,", ",REPT(" ",LEN('Analysis Sheet'!$B$58))),((COLUMNS('Analysis Sheet'!$B$58:$B$58)-(OFFSET('Values Table'!AE2,0,0)))*LEN('Analysis Sheet'!$B$58))+1,LEN('Analysis Sheet'!$B$58))))</f>
        <v/>
      </c>
      <c r="T58" s="49" t="str">
        <f ca="1">IF(NOT(ISBLANK($B$58)),TRIM(MID(SUBSTITUTE('Analysis Sheet'!$B$58,", ",REPT(" ",LEN('Analysis Sheet'!$B$58))),((COLUMNS('Analysis Sheet'!$B$58:$B$58)-(OFFSET('Values Table'!AF2,0,0)))*LEN('Analysis Sheet'!$B$58))+1,LEN('Analysis Sheet'!$B$58))))</f>
        <v/>
      </c>
      <c r="U58" s="49" t="str">
        <f ca="1">IF(NOT(ISBLANK($B$58)),TRIM(MID(SUBSTITUTE('Analysis Sheet'!$B$58,", ",REPT(" ",LEN('Analysis Sheet'!$B$58))),((COLUMNS('Analysis Sheet'!$B$58:$B$58)-(OFFSET('Values Table'!AG2,0,0)))*LEN('Analysis Sheet'!$B$58))+1,LEN('Analysis Sheet'!$B$58))))</f>
        <v/>
      </c>
      <c r="V58" s="49" t="str">
        <f ca="1">IF(NOT(ISBLANK($B$58)),TRIM(MID(SUBSTITUTE('Analysis Sheet'!$B$58,", ",REPT(" ",LEN('Analysis Sheet'!$B$58))),((COLUMNS('Analysis Sheet'!$B$58:$B$58)-(OFFSET('Values Table'!AH2,0,0)))*LEN('Analysis Sheet'!$B$58))+1,LEN('Analysis Sheet'!$B$58))))</f>
        <v/>
      </c>
      <c r="W58" s="42"/>
      <c r="X58" s="20" t="str">
        <f ca="1">UNIQUE($C$44:$V$63, 15)</f>
        <v/>
      </c>
      <c r="Y58" s="21" t="str">
        <f ca="1">IFERROR(VLOOKUP('Analysis Sheet'!X58,'Values Table'!$A$2:$B$42,2,FALSE), "0")</f>
        <v>0</v>
      </c>
    </row>
    <row r="59" spans="1:26" s="3" customFormat="1" x14ac:dyDescent="0.3">
      <c r="A59" s="21" t="str">
        <f>UStrip('User Ranking Form'!A60)</f>
        <v/>
      </c>
      <c r="B59" s="21" t="str">
        <f>IFERROR(MatchWords('Analysis Sheet'!A59, 'Values Table'!$A$2:$B$42)," ")</f>
        <v xml:space="preserve"> </v>
      </c>
      <c r="C59" s="49" t="str">
        <f ca="1">IF(NOT(ISBLANK($B$59)),TRIM(MID(SUBSTITUTE('Analysis Sheet'!$B$59,", ",REPT(" ",LEN('Analysis Sheet'!$B$59))),((COLUMNS('Analysis Sheet'!$B$59:$B$59)-(OFFSET('Values Table'!O2,0,0)))*LEN('Analysis Sheet'!$B$59))+1,LEN('Analysis Sheet'!$B$59))))</f>
        <v/>
      </c>
      <c r="D59" s="49" t="str">
        <f ca="1">IF(NOT(ISBLANK($B$59)),TRIM(MID(SUBSTITUTE('Analysis Sheet'!$B$59,", ",REPT(" ",LEN('Analysis Sheet'!$B$59))),((COLUMNS('Analysis Sheet'!$B$59:$B$59)-(OFFSET('Values Table'!P2,0,0)))*LEN('Analysis Sheet'!$B$59))+1,LEN('Analysis Sheet'!$B$59))))</f>
        <v/>
      </c>
      <c r="E59" s="49" t="str">
        <f ca="1">IF(NOT(ISBLANK($B$59)),TRIM(MID(SUBSTITUTE('Analysis Sheet'!$B$59,", ",REPT(" ",LEN('Analysis Sheet'!$B$59))),((COLUMNS('Analysis Sheet'!$B$59:$B$59)-(OFFSET('Values Table'!Q2,0,0)))*LEN('Analysis Sheet'!$B$59))+1,LEN('Analysis Sheet'!$B$59))))</f>
        <v/>
      </c>
      <c r="F59" s="49" t="str">
        <f ca="1">IF(NOT(ISBLANK($B$59)),TRIM(MID(SUBSTITUTE('Analysis Sheet'!$B$59,", ",REPT(" ",LEN('Analysis Sheet'!$B$59))),((COLUMNS('Analysis Sheet'!$B$59:$B$59)-(OFFSET('Values Table'!R2,0,0)))*LEN('Analysis Sheet'!$B$59))+1,LEN('Analysis Sheet'!$B$59))))</f>
        <v/>
      </c>
      <c r="G59" s="49" t="str">
        <f ca="1">IF(NOT(ISBLANK($B$59)),TRIM(MID(SUBSTITUTE('Analysis Sheet'!$B$59,", ",REPT(" ",LEN('Analysis Sheet'!$B$59))),((COLUMNS('Analysis Sheet'!$B$59:$B$59)-(OFFSET('Values Table'!S2,0,0)))*LEN('Analysis Sheet'!$B$59))+1,LEN('Analysis Sheet'!$B$59))))</f>
        <v/>
      </c>
      <c r="H59" s="49" t="str">
        <f ca="1">IF(NOT(ISBLANK($B$59)),TRIM(MID(SUBSTITUTE('Analysis Sheet'!$B$59,", ",REPT(" ",LEN('Analysis Sheet'!$B$59))),((COLUMNS('Analysis Sheet'!$B$59:$B$59)-(OFFSET('Values Table'!T2,0,0)))*LEN('Analysis Sheet'!$B$59))+1,LEN('Analysis Sheet'!$B$59))))</f>
        <v/>
      </c>
      <c r="I59" s="49" t="str">
        <f ca="1">IF(NOT(ISBLANK($B$59)),TRIM(MID(SUBSTITUTE('Analysis Sheet'!$B$59,", ",REPT(" ",LEN('Analysis Sheet'!$B$59))),((COLUMNS('Analysis Sheet'!$B$59:$B$59)-(OFFSET('Values Table'!U2,0,0)))*LEN('Analysis Sheet'!$B$59))+1,LEN('Analysis Sheet'!$B$59))))</f>
        <v/>
      </c>
      <c r="J59" s="49" t="str">
        <f ca="1">IF(NOT(ISBLANK($B$59)),TRIM(MID(SUBSTITUTE('Analysis Sheet'!$B$59,", ",REPT(" ",LEN('Analysis Sheet'!$B$59))),((COLUMNS('Analysis Sheet'!$B$59:$B$59)-(OFFSET('Values Table'!V2,0,0)))*LEN('Analysis Sheet'!$B$59))+1,LEN('Analysis Sheet'!$B$59))))</f>
        <v/>
      </c>
      <c r="K59" s="49" t="str">
        <f ca="1">IF(NOT(ISBLANK($B$59)),TRIM(MID(SUBSTITUTE('Analysis Sheet'!$B$59,", ",REPT(" ",LEN('Analysis Sheet'!$B$59))),((COLUMNS('Analysis Sheet'!$B$59:$B$59)-(OFFSET('Values Table'!W2,0,0)))*LEN('Analysis Sheet'!$B$59))+1,LEN('Analysis Sheet'!$B$59))))</f>
        <v/>
      </c>
      <c r="L59" s="49" t="str">
        <f ca="1">IF(NOT(ISBLANK($B$59)),TRIM(MID(SUBSTITUTE('Analysis Sheet'!$B$59,", ",REPT(" ",LEN('Analysis Sheet'!$B$59))),((COLUMNS('Analysis Sheet'!$B$59:$B$59)-(OFFSET('Values Table'!X2,0,0)))*LEN('Analysis Sheet'!$B$59))+1,LEN('Analysis Sheet'!$B$59))))</f>
        <v/>
      </c>
      <c r="M59" s="49" t="str">
        <f ca="1">IF(NOT(ISBLANK($B$59)),TRIM(MID(SUBSTITUTE('Analysis Sheet'!$B$59,", ",REPT(" ",LEN('Analysis Sheet'!$B$59))),((COLUMNS('Analysis Sheet'!$B$59:$B$59)-(OFFSET('Values Table'!Y2,0,0)))*LEN('Analysis Sheet'!$B$59))+1,LEN('Analysis Sheet'!$B$59))))</f>
        <v/>
      </c>
      <c r="N59" s="49" t="str">
        <f ca="1">IF(NOT(ISBLANK($B$59)),TRIM(MID(SUBSTITUTE('Analysis Sheet'!$B$59,", ",REPT(" ",LEN('Analysis Sheet'!$B$59))),((COLUMNS('Analysis Sheet'!$B$59:$B$59)-(OFFSET('Values Table'!Z2,0,0)))*LEN('Analysis Sheet'!$B$59))+1,LEN('Analysis Sheet'!$B$59))))</f>
        <v/>
      </c>
      <c r="O59" s="49" t="str">
        <f ca="1">IF(NOT(ISBLANK($B$59)),TRIM(MID(SUBSTITUTE('Analysis Sheet'!$B$59,", ",REPT(" ",LEN('Analysis Sheet'!$B$59))),((COLUMNS('Analysis Sheet'!$B$59:$B$59)-(OFFSET('Values Table'!AA2,0,0)))*LEN('Analysis Sheet'!$B$59))+1,LEN('Analysis Sheet'!$B$59))))</f>
        <v/>
      </c>
      <c r="P59" s="49" t="str">
        <f ca="1">IF(NOT(ISBLANK($B$59)),TRIM(MID(SUBSTITUTE('Analysis Sheet'!$B$59,", ",REPT(" ",LEN('Analysis Sheet'!$B$59))),((COLUMNS('Analysis Sheet'!$B$59:$B$59)-(OFFSET('Values Table'!AB2,0,0)))*LEN('Analysis Sheet'!$B$59))+1,LEN('Analysis Sheet'!$B$59))))</f>
        <v/>
      </c>
      <c r="Q59" s="49" t="str">
        <f ca="1">IF(NOT(ISBLANK($B$59)),TRIM(MID(SUBSTITUTE('Analysis Sheet'!$B$59,", ",REPT(" ",LEN('Analysis Sheet'!$B$59))),((COLUMNS('Analysis Sheet'!$B$59:$B$59)-(OFFSET('Values Table'!AC2,0,0)))*LEN('Analysis Sheet'!$B$59))+1,LEN('Analysis Sheet'!$B$59))))</f>
        <v/>
      </c>
      <c r="R59" s="49" t="str">
        <f ca="1">IF(NOT(ISBLANK($B$59)),TRIM(MID(SUBSTITUTE('Analysis Sheet'!$B$59,", ",REPT(" ",LEN('Analysis Sheet'!$B$59))),((COLUMNS('Analysis Sheet'!$B$59:$B$59)-(OFFSET('Values Table'!AD2,0,0)))*LEN('Analysis Sheet'!$B$59))+1,LEN('Analysis Sheet'!$B$59))))</f>
        <v/>
      </c>
      <c r="S59" s="49" t="str">
        <f ca="1">IF(NOT(ISBLANK($B$59)),TRIM(MID(SUBSTITUTE('Analysis Sheet'!$B$59,", ",REPT(" ",LEN('Analysis Sheet'!$B$59))),((COLUMNS('Analysis Sheet'!$B$59:$B$59)-(OFFSET('Values Table'!AE2,0,0)))*LEN('Analysis Sheet'!$B$59))+1,LEN('Analysis Sheet'!$B$59))))</f>
        <v/>
      </c>
      <c r="T59" s="49" t="str">
        <f ca="1">IF(NOT(ISBLANK($B$59)),TRIM(MID(SUBSTITUTE('Analysis Sheet'!$B$59,", ",REPT(" ",LEN('Analysis Sheet'!$B$59))),((COLUMNS('Analysis Sheet'!$B$59:$B$59)-(OFFSET('Values Table'!AF2,0,0)))*LEN('Analysis Sheet'!$B$59))+1,LEN('Analysis Sheet'!$B$59))))</f>
        <v/>
      </c>
      <c r="U59" s="49" t="str">
        <f ca="1">IF(NOT(ISBLANK($B$59)),TRIM(MID(SUBSTITUTE('Analysis Sheet'!$B$59,", ",REPT(" ",LEN('Analysis Sheet'!$B$59))),((COLUMNS('Analysis Sheet'!$B$59:$B$59)-(OFFSET('Values Table'!AG2,0,0)))*LEN('Analysis Sheet'!$B$59))+1,LEN('Analysis Sheet'!$B$59))))</f>
        <v/>
      </c>
      <c r="V59" s="49" t="str">
        <f ca="1">IF(NOT(ISBLANK($B$59)),TRIM(MID(SUBSTITUTE('Analysis Sheet'!$B$59,", ",REPT(" ",LEN('Analysis Sheet'!$B$59))),((COLUMNS('Analysis Sheet'!$B$59:$B$59)-(OFFSET('Values Table'!AH2,0,0)))*LEN('Analysis Sheet'!$B$59))+1,LEN('Analysis Sheet'!$B$59))))</f>
        <v/>
      </c>
      <c r="W59" s="42"/>
      <c r="X59" s="20" t="str">
        <f ca="1">UNIQUE($C$44:$V$63, 16)</f>
        <v/>
      </c>
      <c r="Y59" s="21" t="str">
        <f ca="1">IFERROR(VLOOKUP('Analysis Sheet'!X59,'Values Table'!$A$2:$B$42,2,FALSE), "0")</f>
        <v>0</v>
      </c>
    </row>
    <row r="60" spans="1:26" s="3" customFormat="1" x14ac:dyDescent="0.3">
      <c r="A60" s="21" t="str">
        <f>UStrip('User Ranking Form'!A61)</f>
        <v/>
      </c>
      <c r="B60" s="21" t="str">
        <f>IFERROR(MatchWords('Analysis Sheet'!A60, 'Values Table'!$A$2:$B$42)," ")</f>
        <v xml:space="preserve"> </v>
      </c>
      <c r="C60" s="49" t="str">
        <f ca="1">IF(NOT(ISBLANK($B$60)),TRIM(MID(SUBSTITUTE('Analysis Sheet'!$B$60,", ",REPT(" ",LEN('Analysis Sheet'!$B$60))),((COLUMNS('Analysis Sheet'!$B$60:$B$60)-(OFFSET('Values Table'!O2,0,0)))*LEN('Analysis Sheet'!$B$60))+1,LEN('Analysis Sheet'!$B$60))))</f>
        <v/>
      </c>
      <c r="D60" s="49" t="str">
        <f ca="1">IF(NOT(ISBLANK($B$60)),TRIM(MID(SUBSTITUTE('Analysis Sheet'!$B$60,", ",REPT(" ",LEN('Analysis Sheet'!$B$60))),((COLUMNS('Analysis Sheet'!$B$60:$B$60)-(OFFSET('Values Table'!P2,0,0)))*LEN('Analysis Sheet'!$B$60))+1,LEN('Analysis Sheet'!$B$60))))</f>
        <v/>
      </c>
      <c r="E60" s="49" t="str">
        <f ca="1">IF(NOT(ISBLANK($B$60)),TRIM(MID(SUBSTITUTE('Analysis Sheet'!$B$60,", ",REPT(" ",LEN('Analysis Sheet'!$B$60))),((COLUMNS('Analysis Sheet'!$B$60:$B$60)-(OFFSET('Values Table'!Q2,0,0)))*LEN('Analysis Sheet'!$B$60))+1,LEN('Analysis Sheet'!$B$60))))</f>
        <v/>
      </c>
      <c r="F60" s="49" t="str">
        <f ca="1">IF(NOT(ISBLANK($B$60)),TRIM(MID(SUBSTITUTE('Analysis Sheet'!$B$60,", ",REPT(" ",LEN('Analysis Sheet'!$B$60))),((COLUMNS('Analysis Sheet'!$B$60:$B$60)-(OFFSET('Values Table'!R2,0,0)))*LEN('Analysis Sheet'!$B$60))+1,LEN('Analysis Sheet'!$B$60))))</f>
        <v/>
      </c>
      <c r="G60" s="49" t="str">
        <f ca="1">IF(NOT(ISBLANK($B$60)),TRIM(MID(SUBSTITUTE('Analysis Sheet'!$B$60,", ",REPT(" ",LEN('Analysis Sheet'!$B$60))),((COLUMNS('Analysis Sheet'!$B$60:$B$60)-(OFFSET('Values Table'!S2,0,0)))*LEN('Analysis Sheet'!$B$60))+1,LEN('Analysis Sheet'!$B$60))))</f>
        <v/>
      </c>
      <c r="H60" s="49" t="str">
        <f ca="1">IF(NOT(ISBLANK($B$60)),TRIM(MID(SUBSTITUTE('Analysis Sheet'!$B$60,", ",REPT(" ",LEN('Analysis Sheet'!$B$60))),((COLUMNS('Analysis Sheet'!$B$60:$B$60)-(OFFSET('Values Table'!T2,0,0)))*LEN('Analysis Sheet'!$B$60))+1,LEN('Analysis Sheet'!$B$60))))</f>
        <v/>
      </c>
      <c r="I60" s="49" t="str">
        <f ca="1">IF(NOT(ISBLANK($B$60)),TRIM(MID(SUBSTITUTE('Analysis Sheet'!$B$60,", ",REPT(" ",LEN('Analysis Sheet'!$B$60))),((COLUMNS('Analysis Sheet'!$B$60:$B$60)-(OFFSET('Values Table'!U2,0,0)))*LEN('Analysis Sheet'!$B$60))+1,LEN('Analysis Sheet'!$B$60))))</f>
        <v/>
      </c>
      <c r="J60" s="49" t="str">
        <f ca="1">IF(NOT(ISBLANK($B$60)),TRIM(MID(SUBSTITUTE('Analysis Sheet'!$B$60,", ",REPT(" ",LEN('Analysis Sheet'!$B$60))),((COLUMNS('Analysis Sheet'!$B$60:$B$60)-(OFFSET('Values Table'!V2,0,0)))*LEN('Analysis Sheet'!$B$60))+1,LEN('Analysis Sheet'!$B$60))))</f>
        <v/>
      </c>
      <c r="K60" s="49" t="str">
        <f ca="1">IF(NOT(ISBLANK($B$60)),TRIM(MID(SUBSTITUTE('Analysis Sheet'!$B$60,", ",REPT(" ",LEN('Analysis Sheet'!$B$60))),((COLUMNS('Analysis Sheet'!$B$60:$B$60)-(OFFSET('Values Table'!W2,0,0)))*LEN('Analysis Sheet'!$B$60))+1,LEN('Analysis Sheet'!$B$60))))</f>
        <v/>
      </c>
      <c r="L60" s="49" t="str">
        <f ca="1">IF(NOT(ISBLANK($B$60)),TRIM(MID(SUBSTITUTE('Analysis Sheet'!$B$60,", ",REPT(" ",LEN('Analysis Sheet'!$B$60))),((COLUMNS('Analysis Sheet'!$B$60:$B$60)-(OFFSET('Values Table'!X2,0,0)))*LEN('Analysis Sheet'!$B$60))+1,LEN('Analysis Sheet'!$B$60))))</f>
        <v/>
      </c>
      <c r="M60" s="49" t="str">
        <f ca="1">IF(NOT(ISBLANK($B$60)),TRIM(MID(SUBSTITUTE('Analysis Sheet'!$B$60,", ",REPT(" ",LEN('Analysis Sheet'!$B$60))),((COLUMNS('Analysis Sheet'!$B$60:$B$60)-(OFFSET('Values Table'!Y2,0,0)))*LEN('Analysis Sheet'!$B$60))+1,LEN('Analysis Sheet'!$B$60))))</f>
        <v/>
      </c>
      <c r="N60" s="49" t="str">
        <f ca="1">IF(NOT(ISBLANK($B$60)),TRIM(MID(SUBSTITUTE('Analysis Sheet'!$B$60,", ",REPT(" ",LEN('Analysis Sheet'!$B$60))),((COLUMNS('Analysis Sheet'!$B$60:$B$60)-(OFFSET('Values Table'!Z2,0,0)))*LEN('Analysis Sheet'!$B$60))+1,LEN('Analysis Sheet'!$B$60))))</f>
        <v/>
      </c>
      <c r="O60" s="49" t="str">
        <f ca="1">IF(NOT(ISBLANK($B$60)),TRIM(MID(SUBSTITUTE('Analysis Sheet'!$B$60,", ",REPT(" ",LEN('Analysis Sheet'!$B$60))),((COLUMNS('Analysis Sheet'!$B$60:$B$60)-(OFFSET('Values Table'!AA2,0,0)))*LEN('Analysis Sheet'!$B$60))+1,LEN('Analysis Sheet'!$B$60))))</f>
        <v/>
      </c>
      <c r="P60" s="49" t="str">
        <f ca="1">IF(NOT(ISBLANK($B$60)),TRIM(MID(SUBSTITUTE('Analysis Sheet'!$B$60,", ",REPT(" ",LEN('Analysis Sheet'!$B$60))),((COLUMNS('Analysis Sheet'!$B$60:$B$60)-(OFFSET('Values Table'!AB2,0,0)))*LEN('Analysis Sheet'!$B$60))+1,LEN('Analysis Sheet'!$B$60))))</f>
        <v/>
      </c>
      <c r="Q60" s="49" t="str">
        <f ca="1">IF(NOT(ISBLANK($B$60)),TRIM(MID(SUBSTITUTE('Analysis Sheet'!$B$60,", ",REPT(" ",LEN('Analysis Sheet'!$B$60))),((COLUMNS('Analysis Sheet'!$B$60:$B$60)-(OFFSET('Values Table'!AC2,0,0)))*LEN('Analysis Sheet'!$B$60))+1,LEN('Analysis Sheet'!$B$60))))</f>
        <v/>
      </c>
      <c r="R60" s="49" t="str">
        <f ca="1">IF(NOT(ISBLANK($B$60)),TRIM(MID(SUBSTITUTE('Analysis Sheet'!$B$60,", ",REPT(" ",LEN('Analysis Sheet'!$B$60))),((COLUMNS('Analysis Sheet'!$B$60:$B$60)-(OFFSET('Values Table'!AD2,0,0)))*LEN('Analysis Sheet'!$B$60))+1,LEN('Analysis Sheet'!$B$60))))</f>
        <v/>
      </c>
      <c r="S60" s="49" t="str">
        <f ca="1">IF(NOT(ISBLANK($B$60)),TRIM(MID(SUBSTITUTE('Analysis Sheet'!$B$60,", ",REPT(" ",LEN('Analysis Sheet'!$B$60))),((COLUMNS('Analysis Sheet'!$B$60:$B$60)-(OFFSET('Values Table'!AE2,0,0)))*LEN('Analysis Sheet'!$B$60))+1,LEN('Analysis Sheet'!$B$60))))</f>
        <v/>
      </c>
      <c r="T60" s="49" t="str">
        <f ca="1">IF(NOT(ISBLANK($B$60)),TRIM(MID(SUBSTITUTE('Analysis Sheet'!$B$60,", ",REPT(" ",LEN('Analysis Sheet'!$B$60))),((COLUMNS('Analysis Sheet'!$B$60:$B$60)-(OFFSET('Values Table'!AF2,0,0)))*LEN('Analysis Sheet'!$B$60))+1,LEN('Analysis Sheet'!$B$60))))</f>
        <v/>
      </c>
      <c r="U60" s="49" t="str">
        <f ca="1">IF(NOT(ISBLANK($B$60)),TRIM(MID(SUBSTITUTE('Analysis Sheet'!$B$60,", ",REPT(" ",LEN('Analysis Sheet'!$B$60))),((COLUMNS('Analysis Sheet'!$B$60:$B$60)-(OFFSET('Values Table'!AG2,0,0)))*LEN('Analysis Sheet'!$B$60))+1,LEN('Analysis Sheet'!$B$60))))</f>
        <v/>
      </c>
      <c r="V60" s="49" t="str">
        <f ca="1">IF(NOT(ISBLANK($B$60)),TRIM(MID(SUBSTITUTE('Analysis Sheet'!$B$60,", ",REPT(" ",LEN('Analysis Sheet'!$B$60))),((COLUMNS('Analysis Sheet'!$B$60:$B$60)-(OFFSET('Values Table'!AH2,0,0)))*LEN('Analysis Sheet'!$B$60))+1,LEN('Analysis Sheet'!$B$60))))</f>
        <v/>
      </c>
      <c r="W60" s="42"/>
      <c r="X60" s="20" t="str">
        <f ca="1">UNIQUE($C$44:$V$63, 17)</f>
        <v/>
      </c>
      <c r="Y60" s="21" t="str">
        <f ca="1">IFERROR(VLOOKUP('Analysis Sheet'!X60,'Values Table'!$A$2:$B$42,2,FALSE), "0")</f>
        <v>0</v>
      </c>
    </row>
    <row r="61" spans="1:26" s="3" customFormat="1" x14ac:dyDescent="0.3">
      <c r="A61" s="21" t="str">
        <f>UStrip('User Ranking Form'!A62)</f>
        <v/>
      </c>
      <c r="B61" s="21" t="str">
        <f>IFERROR(MatchWords('Analysis Sheet'!A61, 'Values Table'!$A$2:$B$42)," ")</f>
        <v xml:space="preserve"> </v>
      </c>
      <c r="C61" s="49" t="str">
        <f ca="1">IF(NOT(ISBLANK($B$61)),TRIM(MID(SUBSTITUTE('Analysis Sheet'!$B$61,", ",REPT(" ",LEN('Analysis Sheet'!$B$61))),((COLUMNS('Analysis Sheet'!$B$61:$B$61)-(OFFSET('Values Table'!O2,0,0)))*LEN('Analysis Sheet'!$B$61))+1,LEN('Analysis Sheet'!$B$61))))</f>
        <v/>
      </c>
      <c r="D61" s="49" t="str">
        <f ca="1">IF(NOT(ISBLANK($B$61)),TRIM(MID(SUBSTITUTE('Analysis Sheet'!$B$61,", ",REPT(" ",LEN('Analysis Sheet'!$B$61))),((COLUMNS('Analysis Sheet'!$B$61:$B$61)-(OFFSET('Values Table'!P2,0,0)))*LEN('Analysis Sheet'!$B$61))+1,LEN('Analysis Sheet'!$B$61))))</f>
        <v/>
      </c>
      <c r="E61" s="49" t="str">
        <f ca="1">IF(NOT(ISBLANK($B$61)),TRIM(MID(SUBSTITUTE('Analysis Sheet'!$B$61,", ",REPT(" ",LEN('Analysis Sheet'!$B$61))),((COLUMNS('Analysis Sheet'!$B$61:$B$61)-(OFFSET('Values Table'!Q2,0,0)))*LEN('Analysis Sheet'!$B$61))+1,LEN('Analysis Sheet'!$B$61))))</f>
        <v/>
      </c>
      <c r="F61" s="49" t="str">
        <f ca="1">IF(NOT(ISBLANK($B$61)),TRIM(MID(SUBSTITUTE('Analysis Sheet'!$B$61,", ",REPT(" ",LEN('Analysis Sheet'!$B$61))),((COLUMNS('Analysis Sheet'!$B$61:$B$61)-(OFFSET('Values Table'!R2,0,0)))*LEN('Analysis Sheet'!$B$61))+1,LEN('Analysis Sheet'!$B$61))))</f>
        <v/>
      </c>
      <c r="G61" s="49" t="str">
        <f ca="1">IF(NOT(ISBLANK($B$61)),TRIM(MID(SUBSTITUTE('Analysis Sheet'!$B$61,", ",REPT(" ",LEN('Analysis Sheet'!$B$61))),((COLUMNS('Analysis Sheet'!$B$61:$B$61)-(OFFSET('Values Table'!S2,0,0)))*LEN('Analysis Sheet'!$B$61))+1,LEN('Analysis Sheet'!$B$61))))</f>
        <v/>
      </c>
      <c r="H61" s="49" t="str">
        <f ca="1">IF(NOT(ISBLANK($B$61)),TRIM(MID(SUBSTITUTE('Analysis Sheet'!$B$61,", ",REPT(" ",LEN('Analysis Sheet'!$B$61))),((COLUMNS('Analysis Sheet'!$B$61:$B$61)-(OFFSET('Values Table'!T2,0,0)))*LEN('Analysis Sheet'!$B$61))+1,LEN('Analysis Sheet'!$B$61))))</f>
        <v/>
      </c>
      <c r="I61" s="49" t="str">
        <f ca="1">IF(NOT(ISBLANK($B$61)),TRIM(MID(SUBSTITUTE('Analysis Sheet'!$B$61,", ",REPT(" ",LEN('Analysis Sheet'!$B$61))),((COLUMNS('Analysis Sheet'!$B$61:$B$61)-(OFFSET('Values Table'!U2,0,0)))*LEN('Analysis Sheet'!$B$61))+1,LEN('Analysis Sheet'!$B$61))))</f>
        <v/>
      </c>
      <c r="J61" s="49" t="str">
        <f ca="1">IF(NOT(ISBLANK($B$61)),TRIM(MID(SUBSTITUTE('Analysis Sheet'!$B$61,", ",REPT(" ",LEN('Analysis Sheet'!$B$61))),((COLUMNS('Analysis Sheet'!$B$61:$B$61)-(OFFSET('Values Table'!V2,0,0)))*LEN('Analysis Sheet'!$B$61))+1,LEN('Analysis Sheet'!$B$61))))</f>
        <v/>
      </c>
      <c r="K61" s="49" t="str">
        <f ca="1">IF(NOT(ISBLANK($B$61)),TRIM(MID(SUBSTITUTE('Analysis Sheet'!$B$61,", ",REPT(" ",LEN('Analysis Sheet'!$B$61))),((COLUMNS('Analysis Sheet'!$B$61:$B$61)-(OFFSET('Values Table'!W2,0,0)))*LEN('Analysis Sheet'!$B$61))+1,LEN('Analysis Sheet'!$B$61))))</f>
        <v/>
      </c>
      <c r="L61" s="49" t="str">
        <f ca="1">IF(NOT(ISBLANK($B$61)),TRIM(MID(SUBSTITUTE('Analysis Sheet'!$B$61,", ",REPT(" ",LEN('Analysis Sheet'!$B$61))),((COLUMNS('Analysis Sheet'!$B$61:$B$61)-(OFFSET('Values Table'!X2,0,0)))*LEN('Analysis Sheet'!$B$61))+1,LEN('Analysis Sheet'!$B$61))))</f>
        <v/>
      </c>
      <c r="M61" s="49" t="str">
        <f ca="1">IF(NOT(ISBLANK($B$61)),TRIM(MID(SUBSTITUTE('Analysis Sheet'!$B$61,", ",REPT(" ",LEN('Analysis Sheet'!$B$61))),((COLUMNS('Analysis Sheet'!$B$61:$B$61)-(OFFSET('Values Table'!Y2,0,0)))*LEN('Analysis Sheet'!$B$61))+1,LEN('Analysis Sheet'!$B$61))))</f>
        <v/>
      </c>
      <c r="N61" s="49" t="str">
        <f ca="1">IF(NOT(ISBLANK($B$61)),TRIM(MID(SUBSTITUTE('Analysis Sheet'!$B$61,", ",REPT(" ",LEN('Analysis Sheet'!$B$61))),((COLUMNS('Analysis Sheet'!$B$61:$B$61)-(OFFSET('Values Table'!Z2,0,0)))*LEN('Analysis Sheet'!$B$61))+1,LEN('Analysis Sheet'!$B$61))))</f>
        <v/>
      </c>
      <c r="O61" s="49" t="str">
        <f ca="1">IF(NOT(ISBLANK($B$61)),TRIM(MID(SUBSTITUTE('Analysis Sheet'!$B$61,", ",REPT(" ",LEN('Analysis Sheet'!$B$61))),((COLUMNS('Analysis Sheet'!$B$61:$B$61)-(OFFSET('Values Table'!AA2,0,0)))*LEN('Analysis Sheet'!$B$61))+1,LEN('Analysis Sheet'!$B$61))))</f>
        <v/>
      </c>
      <c r="P61" s="49" t="str">
        <f ca="1">IF(NOT(ISBLANK($B$61)),TRIM(MID(SUBSTITUTE('Analysis Sheet'!$B$61,", ",REPT(" ",LEN('Analysis Sheet'!$B$61))),((COLUMNS('Analysis Sheet'!$B$61:$B$61)-(OFFSET('Values Table'!AB2,0,0)))*LEN('Analysis Sheet'!$B$61))+1,LEN('Analysis Sheet'!$B$61))))</f>
        <v/>
      </c>
      <c r="Q61" s="49" t="str">
        <f ca="1">IF(NOT(ISBLANK($B$61)),TRIM(MID(SUBSTITUTE('Analysis Sheet'!$B$61,", ",REPT(" ",LEN('Analysis Sheet'!$B$61))),((COLUMNS('Analysis Sheet'!$B$61:$B$61)-(OFFSET('Values Table'!AC2,0,0)))*LEN('Analysis Sheet'!$B$61))+1,LEN('Analysis Sheet'!$B$61))))</f>
        <v/>
      </c>
      <c r="R61" s="49" t="str">
        <f ca="1">IF(NOT(ISBLANK($B$61)),TRIM(MID(SUBSTITUTE('Analysis Sheet'!$B$61,", ",REPT(" ",LEN('Analysis Sheet'!$B$61))),((COLUMNS('Analysis Sheet'!$B$61:$B$61)-(OFFSET('Values Table'!AD2,0,0)))*LEN('Analysis Sheet'!$B$61))+1,LEN('Analysis Sheet'!$B$61))))</f>
        <v/>
      </c>
      <c r="S61" s="49" t="str">
        <f ca="1">IF(NOT(ISBLANK($B$61)),TRIM(MID(SUBSTITUTE('Analysis Sheet'!$B$61,", ",REPT(" ",LEN('Analysis Sheet'!$B$61))),((COLUMNS('Analysis Sheet'!$B$61:$B$61)-(OFFSET('Values Table'!AE2,0,0)))*LEN('Analysis Sheet'!$B$61))+1,LEN('Analysis Sheet'!$B$61))))</f>
        <v/>
      </c>
      <c r="T61" s="49" t="str">
        <f ca="1">IF(NOT(ISBLANK($B$61)),TRIM(MID(SUBSTITUTE('Analysis Sheet'!$B$61,", ",REPT(" ",LEN('Analysis Sheet'!$B$61))),((COLUMNS('Analysis Sheet'!$B$61:$B$61)-(OFFSET('Values Table'!AF2,0,0)))*LEN('Analysis Sheet'!$B$61))+1,LEN('Analysis Sheet'!$B$61))))</f>
        <v/>
      </c>
      <c r="U61" s="49" t="str">
        <f ca="1">IF(NOT(ISBLANK($B$61)),TRIM(MID(SUBSTITUTE('Analysis Sheet'!$B$61,", ",REPT(" ",LEN('Analysis Sheet'!$B$61))),((COLUMNS('Analysis Sheet'!$B$61:$B$61)-(OFFSET('Values Table'!AG2,0,0)))*LEN('Analysis Sheet'!$B$61))+1,LEN('Analysis Sheet'!$B$61))))</f>
        <v/>
      </c>
      <c r="V61" s="49" t="str">
        <f ca="1">IF(NOT(ISBLANK($B$61)),TRIM(MID(SUBSTITUTE('Analysis Sheet'!$B$61,", ",REPT(" ",LEN('Analysis Sheet'!$B$61))),((COLUMNS('Analysis Sheet'!$B$61:$B$61)-(OFFSET('Values Table'!AH2,0,0)))*LEN('Analysis Sheet'!$B$61))+1,LEN('Analysis Sheet'!$B$61))))</f>
        <v/>
      </c>
      <c r="W61" s="42"/>
      <c r="X61" s="20" t="str">
        <f ca="1">UNIQUE($C$44:$V$63, 18)</f>
        <v/>
      </c>
      <c r="Y61" s="21" t="str">
        <f ca="1">IFERROR(VLOOKUP('Analysis Sheet'!X61,'Values Table'!$A$2:$B$42,2,FALSE), "0")</f>
        <v>0</v>
      </c>
    </row>
    <row r="62" spans="1:26" s="3" customFormat="1" x14ac:dyDescent="0.3">
      <c r="A62" s="21" t="str">
        <f>UStrip('User Ranking Form'!A63)</f>
        <v/>
      </c>
      <c r="B62" s="21" t="str">
        <f>IFERROR(MatchWords('Analysis Sheet'!A62, 'Values Table'!$A$2:$B$42)," ")</f>
        <v xml:space="preserve"> </v>
      </c>
      <c r="C62" s="49" t="str">
        <f ca="1">IF(NOT(ISBLANK($B$62)),TRIM(MID(SUBSTITUTE('Analysis Sheet'!$B$62,", ",REPT(" ",LEN('Analysis Sheet'!$B$62))),((COLUMNS('Analysis Sheet'!$B$62:$B$62)-(OFFSET('Values Table'!O2,0,0)))*LEN('Analysis Sheet'!$B$62))+1,LEN('Analysis Sheet'!$B$62))))</f>
        <v/>
      </c>
      <c r="D62" s="49" t="str">
        <f ca="1">IF(NOT(ISBLANK($B$62)),TRIM(MID(SUBSTITUTE('Analysis Sheet'!$B$62,", ",REPT(" ",LEN('Analysis Sheet'!$B$62))),((COLUMNS('Analysis Sheet'!$B$62:$B$62)-(OFFSET('Values Table'!P2,0,0)))*LEN('Analysis Sheet'!$B$62))+1,LEN('Analysis Sheet'!$B$62))))</f>
        <v/>
      </c>
      <c r="E62" s="49" t="str">
        <f ca="1">IF(NOT(ISBLANK($B$62)),TRIM(MID(SUBSTITUTE('Analysis Sheet'!$B$62,", ",REPT(" ",LEN('Analysis Sheet'!$B$62))),((COLUMNS('Analysis Sheet'!$B$62:$B$62)-(OFFSET('Values Table'!Q2,0,0)))*LEN('Analysis Sheet'!$B$62))+1,LEN('Analysis Sheet'!$B$62))))</f>
        <v/>
      </c>
      <c r="F62" s="49" t="str">
        <f ca="1">IF(NOT(ISBLANK($B$62)),TRIM(MID(SUBSTITUTE('Analysis Sheet'!$B$62,", ",REPT(" ",LEN('Analysis Sheet'!$B$62))),((COLUMNS('Analysis Sheet'!$B$62:$B$62)-(OFFSET('Values Table'!R2,0,0)))*LEN('Analysis Sheet'!$B$62))+1,LEN('Analysis Sheet'!$B$62))))</f>
        <v/>
      </c>
      <c r="G62" s="49" t="str">
        <f ca="1">IF(NOT(ISBLANK($B$62)),TRIM(MID(SUBSTITUTE('Analysis Sheet'!$B$62,", ",REPT(" ",LEN('Analysis Sheet'!$B$62))),((COLUMNS('Analysis Sheet'!$B$62:$B$62)-(OFFSET('Values Table'!S2,0,0)))*LEN('Analysis Sheet'!$B$62))+1,LEN('Analysis Sheet'!$B$62))))</f>
        <v/>
      </c>
      <c r="H62" s="49" t="str">
        <f ca="1">IF(NOT(ISBLANK($B$62)),TRIM(MID(SUBSTITUTE('Analysis Sheet'!$B$62,", ",REPT(" ",LEN('Analysis Sheet'!$B$62))),((COLUMNS('Analysis Sheet'!$B$62:$B$62)-(OFFSET('Values Table'!T2,0,0)))*LEN('Analysis Sheet'!$B$62))+1,LEN('Analysis Sheet'!$B$62))))</f>
        <v/>
      </c>
      <c r="I62" s="49" t="str">
        <f ca="1">IF(NOT(ISBLANK($B$62)),TRIM(MID(SUBSTITUTE('Analysis Sheet'!$B$62,", ",REPT(" ",LEN('Analysis Sheet'!$B$62))),((COLUMNS('Analysis Sheet'!$B$62:$B$62)-(OFFSET('Values Table'!U2,0,0)))*LEN('Analysis Sheet'!$B$62))+1,LEN('Analysis Sheet'!$B$62))))</f>
        <v/>
      </c>
      <c r="J62" s="49" t="str">
        <f ca="1">IF(NOT(ISBLANK($B$62)),TRIM(MID(SUBSTITUTE('Analysis Sheet'!$B$62,", ",REPT(" ",LEN('Analysis Sheet'!$B$62))),((COLUMNS('Analysis Sheet'!$B$62:$B$62)-(OFFSET('Values Table'!V2,0,0)))*LEN('Analysis Sheet'!$B$62))+1,LEN('Analysis Sheet'!$B$62))))</f>
        <v/>
      </c>
      <c r="K62" s="49" t="str">
        <f ca="1">IF(NOT(ISBLANK($B$62)),TRIM(MID(SUBSTITUTE('Analysis Sheet'!$B$62,", ",REPT(" ",LEN('Analysis Sheet'!$B$62))),((COLUMNS('Analysis Sheet'!$B$62:$B$62)-(OFFSET('Values Table'!W2,0,0)))*LEN('Analysis Sheet'!$B$62))+1,LEN('Analysis Sheet'!$B$62))))</f>
        <v/>
      </c>
      <c r="L62" s="49" t="str">
        <f ca="1">IF(NOT(ISBLANK($B$62)),TRIM(MID(SUBSTITUTE('Analysis Sheet'!$B$62,", ",REPT(" ",LEN('Analysis Sheet'!$B$62))),((COLUMNS('Analysis Sheet'!$B$62:$B$62)-(OFFSET('Values Table'!X2,0,0)))*LEN('Analysis Sheet'!$B$62))+1,LEN('Analysis Sheet'!$B$62))))</f>
        <v/>
      </c>
      <c r="M62" s="49" t="str">
        <f ca="1">IF(NOT(ISBLANK($B$62)),TRIM(MID(SUBSTITUTE('Analysis Sheet'!$B$62,", ",REPT(" ",LEN('Analysis Sheet'!$B$62))),((COLUMNS('Analysis Sheet'!$B$62:$B$62)-(OFFSET('Values Table'!Y2,0,0)))*LEN('Analysis Sheet'!$B$62))+1,LEN('Analysis Sheet'!$B$62))))</f>
        <v/>
      </c>
      <c r="N62" s="49" t="str">
        <f ca="1">IF(NOT(ISBLANK($B$62)),TRIM(MID(SUBSTITUTE('Analysis Sheet'!$B$62,", ",REPT(" ",LEN('Analysis Sheet'!$B$62))),((COLUMNS('Analysis Sheet'!$B$62:$B$62)-(OFFSET('Values Table'!Z2,0,0)))*LEN('Analysis Sheet'!$B$62))+1,LEN('Analysis Sheet'!$B$62))))</f>
        <v/>
      </c>
      <c r="O62" s="49" t="str">
        <f ca="1">IF(NOT(ISBLANK($B$62)),TRIM(MID(SUBSTITUTE('Analysis Sheet'!$B$62,", ",REPT(" ",LEN('Analysis Sheet'!$B$62))),((COLUMNS('Analysis Sheet'!$B$62:$B$62)-(OFFSET('Values Table'!AA2,0,0)))*LEN('Analysis Sheet'!$B$62))+1,LEN('Analysis Sheet'!$B$62))))</f>
        <v/>
      </c>
      <c r="P62" s="49" t="str">
        <f ca="1">IF(NOT(ISBLANK($B$62)),TRIM(MID(SUBSTITUTE('Analysis Sheet'!$B$62,", ",REPT(" ",LEN('Analysis Sheet'!$B$62))),((COLUMNS('Analysis Sheet'!$B$62:$B$62)-(OFFSET('Values Table'!AB2,0,0)))*LEN('Analysis Sheet'!$B$62))+1,LEN('Analysis Sheet'!$B$62))))</f>
        <v/>
      </c>
      <c r="Q62" s="49" t="str">
        <f ca="1">IF(NOT(ISBLANK($B$62)),TRIM(MID(SUBSTITUTE('Analysis Sheet'!$B$62,", ",REPT(" ",LEN('Analysis Sheet'!$B$62))),((COLUMNS('Analysis Sheet'!$B$62:$B$62)-(OFFSET('Values Table'!AC2,0,0)))*LEN('Analysis Sheet'!$B$62))+1,LEN('Analysis Sheet'!$B$62))))</f>
        <v/>
      </c>
      <c r="R62" s="49" t="str">
        <f ca="1">IF(NOT(ISBLANK($B$62)),TRIM(MID(SUBSTITUTE('Analysis Sheet'!$B$62,", ",REPT(" ",LEN('Analysis Sheet'!$B$62))),((COLUMNS('Analysis Sheet'!$B$62:$B$62)-(OFFSET('Values Table'!AD2,0,0)))*LEN('Analysis Sheet'!$B$62))+1,LEN('Analysis Sheet'!$B$62))))</f>
        <v/>
      </c>
      <c r="S62" s="49" t="str">
        <f ca="1">IF(NOT(ISBLANK($B$62)),TRIM(MID(SUBSTITUTE('Analysis Sheet'!$B$62,", ",REPT(" ",LEN('Analysis Sheet'!$B$62))),((COLUMNS('Analysis Sheet'!$B$62:$B$62)-(OFFSET('Values Table'!AE2,0,0)))*LEN('Analysis Sheet'!$B$62))+1,LEN('Analysis Sheet'!$B$62))))</f>
        <v/>
      </c>
      <c r="T62" s="49" t="str">
        <f ca="1">IF(NOT(ISBLANK($B$62)),TRIM(MID(SUBSTITUTE('Analysis Sheet'!$B$62,", ",REPT(" ",LEN('Analysis Sheet'!$B$62))),((COLUMNS('Analysis Sheet'!$B$62:$B$62)-(OFFSET('Values Table'!AF2,0,0)))*LEN('Analysis Sheet'!$B$62))+1,LEN('Analysis Sheet'!$B$62))))</f>
        <v/>
      </c>
      <c r="U62" s="49" t="str">
        <f ca="1">IF(NOT(ISBLANK($B$62)),TRIM(MID(SUBSTITUTE('Analysis Sheet'!$B$62,", ",REPT(" ",LEN('Analysis Sheet'!$B$62))),((COLUMNS('Analysis Sheet'!$B$62:$B$62)-(OFFSET('Values Table'!AG2,0,0)))*LEN('Analysis Sheet'!$B$62))+1,LEN('Analysis Sheet'!$B$62))))</f>
        <v/>
      </c>
      <c r="V62" s="49" t="str">
        <f ca="1">IF(NOT(ISBLANK($B$62)),TRIM(MID(SUBSTITUTE('Analysis Sheet'!$B$62,", ",REPT(" ",LEN('Analysis Sheet'!$B$62))),((COLUMNS('Analysis Sheet'!$B$62:$B$62)-(OFFSET('Values Table'!AH2,0,0)))*LEN('Analysis Sheet'!$B$62))+1,LEN('Analysis Sheet'!$B$62))))</f>
        <v/>
      </c>
      <c r="W62" s="42"/>
      <c r="X62" s="20" t="str">
        <f ca="1">UNIQUE($C$44:$V$63, 19)</f>
        <v/>
      </c>
      <c r="Y62" s="21" t="str">
        <f ca="1">IFERROR(VLOOKUP('Analysis Sheet'!X62,'Values Table'!$A$2:$B$42,2,FALSE), "0")</f>
        <v>0</v>
      </c>
    </row>
    <row r="63" spans="1:26" s="3" customFormat="1" x14ac:dyDescent="0.3">
      <c r="A63" s="21" t="str">
        <f>UStrip('User Ranking Form'!A64)</f>
        <v/>
      </c>
      <c r="B63" s="21" t="str">
        <f>IFERROR(MatchWords('Analysis Sheet'!A63, 'Values Table'!$A$2:$B$42)," ")</f>
        <v xml:space="preserve"> </v>
      </c>
      <c r="C63" s="61" t="str">
        <f ca="1">IF(NOT(ISBLANK($B$63)),TRIM(MID(SUBSTITUTE('Analysis Sheet'!$B$63,", ",REPT(" ",LEN('Analysis Sheet'!$B$63))),((COLUMNS('Analysis Sheet'!$B$63:$B$63)-(OFFSET('Values Table'!O2,0,0)))*LEN('Analysis Sheet'!$B$63))+1,LEN('Analysis Sheet'!$B$63))))</f>
        <v/>
      </c>
      <c r="D63" s="52" t="str">
        <f ca="1">IF(NOT(ISBLANK($B$63)),TRIM(MID(SUBSTITUTE('Analysis Sheet'!$B$63,", ",REPT(" ",LEN('Analysis Sheet'!$B$63))),((COLUMNS('Analysis Sheet'!$B$63:$B$63)-(OFFSET('Values Table'!P2,0,0)))*LEN('Analysis Sheet'!$B$63))+1,LEN('Analysis Sheet'!$B$63))))</f>
        <v/>
      </c>
      <c r="E63" s="52" t="str">
        <f ca="1">IF(NOT(ISBLANK($B$63)),TRIM(MID(SUBSTITUTE('Analysis Sheet'!$B$63,", ",REPT(" ",LEN('Analysis Sheet'!$B$63))),((COLUMNS('Analysis Sheet'!$B$63:$B$63)-(OFFSET('Values Table'!Q2,0,0)))*LEN('Analysis Sheet'!$B$63))+1,LEN('Analysis Sheet'!$B$63))))</f>
        <v/>
      </c>
      <c r="F63" s="52" t="str">
        <f ca="1">IF(NOT(ISBLANK($B$63)),TRIM(MID(SUBSTITUTE('Analysis Sheet'!$B$63,", ",REPT(" ",LEN('Analysis Sheet'!$B$63))),((COLUMNS('Analysis Sheet'!$B$63:$B$63)-(OFFSET('Values Table'!R2,0,0)))*LEN('Analysis Sheet'!$B$63))+1,LEN('Analysis Sheet'!$B$63))))</f>
        <v/>
      </c>
      <c r="G63" s="52" t="str">
        <f ca="1">IF(NOT(ISBLANK($B$63)),TRIM(MID(SUBSTITUTE('Analysis Sheet'!$B$63,", ",REPT(" ",LEN('Analysis Sheet'!$B$63))),((COLUMNS('Analysis Sheet'!$B$63:$B$63)-(OFFSET('Values Table'!S2,0,0)))*LEN('Analysis Sheet'!$B$63))+1,LEN('Analysis Sheet'!$B$63))))</f>
        <v/>
      </c>
      <c r="H63" s="52" t="str">
        <f ca="1">IF(NOT(ISBLANK($B$63)),TRIM(MID(SUBSTITUTE('Analysis Sheet'!$B$63,", ",REPT(" ",LEN('Analysis Sheet'!$B$63))),((COLUMNS('Analysis Sheet'!$B$63:$B$63)-(OFFSET('Values Table'!T2,0,0)))*LEN('Analysis Sheet'!$B$63))+1,LEN('Analysis Sheet'!$B$63))))</f>
        <v/>
      </c>
      <c r="I63" s="52" t="str">
        <f ca="1">IF(NOT(ISBLANK($B$63)),TRIM(MID(SUBSTITUTE('Analysis Sheet'!$B$63,", ",REPT(" ",LEN('Analysis Sheet'!$B$63))),((COLUMNS('Analysis Sheet'!$B$63:$B$63)-(OFFSET('Values Table'!U2,0,0)))*LEN('Analysis Sheet'!$B$63))+1,LEN('Analysis Sheet'!$B$63))))</f>
        <v/>
      </c>
      <c r="J63" s="52" t="str">
        <f ca="1">IF(NOT(ISBLANK($B$63)),TRIM(MID(SUBSTITUTE('Analysis Sheet'!$B$63,", ",REPT(" ",LEN('Analysis Sheet'!$B$63))),((COLUMNS('Analysis Sheet'!$B$63:$B$63)-(OFFSET('Values Table'!V2,0,0)))*LEN('Analysis Sheet'!$B$63))+1,LEN('Analysis Sheet'!$B$63))))</f>
        <v/>
      </c>
      <c r="K63" s="52" t="str">
        <f ca="1">IF(NOT(ISBLANK($B$63)),TRIM(MID(SUBSTITUTE('Analysis Sheet'!$B$63,", ",REPT(" ",LEN('Analysis Sheet'!$B$63))),((COLUMNS('Analysis Sheet'!$B$63:$B$63)-(OFFSET('Values Table'!W2,0,0)))*LEN('Analysis Sheet'!$B$63))+1,LEN('Analysis Sheet'!$B$63))))</f>
        <v/>
      </c>
      <c r="L63" s="52" t="str">
        <f ca="1">IF(NOT(ISBLANK($B$63)),TRIM(MID(SUBSTITUTE('Analysis Sheet'!$B$63,", ",REPT(" ",LEN('Analysis Sheet'!$B$63))),((COLUMNS('Analysis Sheet'!$B$63:$B$63)-(OFFSET('Values Table'!X2,0,0)))*LEN('Analysis Sheet'!$B$63))+1,LEN('Analysis Sheet'!$B$63))))</f>
        <v/>
      </c>
      <c r="M63" s="52" t="str">
        <f ca="1">IF(NOT(ISBLANK($B$63)),TRIM(MID(SUBSTITUTE('Analysis Sheet'!$B$63,", ",REPT(" ",LEN('Analysis Sheet'!$B$63))),((COLUMNS('Analysis Sheet'!$B$63:$B$63)-(OFFSET('Values Table'!Y2,0,0)))*LEN('Analysis Sheet'!$B$63))+1,LEN('Analysis Sheet'!$B$63))))</f>
        <v/>
      </c>
      <c r="N63" s="52" t="str">
        <f ca="1">IF(NOT(ISBLANK($B$63)),TRIM(MID(SUBSTITUTE('Analysis Sheet'!$B$63,", ",REPT(" ",LEN('Analysis Sheet'!$B$63))),((COLUMNS('Analysis Sheet'!$B$63:$B$63)-(OFFSET('Values Table'!Z2,0,0)))*LEN('Analysis Sheet'!$B$63))+1,LEN('Analysis Sheet'!$B$63))))</f>
        <v/>
      </c>
      <c r="O63" s="52" t="str">
        <f ca="1">IF(NOT(ISBLANK($B$63)),TRIM(MID(SUBSTITUTE('Analysis Sheet'!$B$63,", ",REPT(" ",LEN('Analysis Sheet'!$B$63))),((COLUMNS('Analysis Sheet'!$B$63:$B$63)-(OFFSET('Values Table'!AA2,0,0)))*LEN('Analysis Sheet'!$B$63))+1,LEN('Analysis Sheet'!$B$63))))</f>
        <v/>
      </c>
      <c r="P63" s="52" t="str">
        <f ca="1">IF(NOT(ISBLANK($B$63)),TRIM(MID(SUBSTITUTE('Analysis Sheet'!$B$63,", ",REPT(" ",LEN('Analysis Sheet'!$B$63))),((COLUMNS('Analysis Sheet'!$B$63:$B$63)-(OFFSET('Values Table'!AB2,0,0)))*LEN('Analysis Sheet'!$B$63))+1,LEN('Analysis Sheet'!$B$63))))</f>
        <v/>
      </c>
      <c r="Q63" s="52" t="str">
        <f ca="1">IF(NOT(ISBLANK($B$63)),TRIM(MID(SUBSTITUTE('Analysis Sheet'!$B$63,", ",REPT(" ",LEN('Analysis Sheet'!$B$63))),((COLUMNS('Analysis Sheet'!$B$63:$B$63)-(OFFSET('Values Table'!AC2,0,0)))*LEN('Analysis Sheet'!$B$63))+1,LEN('Analysis Sheet'!$B$63))))</f>
        <v/>
      </c>
      <c r="R63" s="52" t="str">
        <f ca="1">IF(NOT(ISBLANK($B$63)),TRIM(MID(SUBSTITUTE('Analysis Sheet'!$B$63,", ",REPT(" ",LEN('Analysis Sheet'!$B$63))),((COLUMNS('Analysis Sheet'!$B$63:$B$63)-(OFFSET('Values Table'!AD2,0,0)))*LEN('Analysis Sheet'!$B$63))+1,LEN('Analysis Sheet'!$B$63))))</f>
        <v/>
      </c>
      <c r="S63" s="52" t="str">
        <f ca="1">IF(NOT(ISBLANK($B$63)),TRIM(MID(SUBSTITUTE('Analysis Sheet'!$B$63,", ",REPT(" ",LEN('Analysis Sheet'!$B$63))),((COLUMNS('Analysis Sheet'!$B$63:$B$63)-(OFFSET('Values Table'!AE2,0,0)))*LEN('Analysis Sheet'!$B$63))+1,LEN('Analysis Sheet'!$B$63))))</f>
        <v/>
      </c>
      <c r="T63" s="52" t="str">
        <f ca="1">IF(NOT(ISBLANK($B$63)),TRIM(MID(SUBSTITUTE('Analysis Sheet'!$B$63,", ",REPT(" ",LEN('Analysis Sheet'!$B$63))),((COLUMNS('Analysis Sheet'!$B$63:$B$63)-(OFFSET('Values Table'!AF2,0,0)))*LEN('Analysis Sheet'!$B$63))+1,LEN('Analysis Sheet'!$B$63))))</f>
        <v/>
      </c>
      <c r="U63" s="52" t="str">
        <f ca="1">IF(NOT(ISBLANK($B$63)),TRIM(MID(SUBSTITUTE('Analysis Sheet'!$B$63,", ",REPT(" ",LEN('Analysis Sheet'!$B$63))),((COLUMNS('Analysis Sheet'!$B$63:$B$63)-(OFFSET('Values Table'!AG2,0,0)))*LEN('Analysis Sheet'!$B$63))+1,LEN('Analysis Sheet'!$B$63))))</f>
        <v/>
      </c>
      <c r="V63" s="52" t="str">
        <f ca="1">IF(NOT(ISBLANK($B$63)),TRIM(MID(SUBSTITUTE('Analysis Sheet'!$B$63,", ",REPT(" ",LEN('Analysis Sheet'!$B$63))),((COLUMNS('Analysis Sheet'!$B$63:$B$63)-(OFFSET('Values Table'!AH2,0,0)))*LEN('Analysis Sheet'!$B$63))+1,LEN('Analysis Sheet'!$B$63))))</f>
        <v/>
      </c>
      <c r="W63" s="43"/>
      <c r="X63" s="53" t="str">
        <f ca="1">UNIQUE($C$44:$V$63, 20)</f>
        <v/>
      </c>
      <c r="Y63" s="22" t="str">
        <f ca="1">IFERROR(VLOOKUP('Analysis Sheet'!X63,'Values Table'!$A$2:$B$42,2,FALSE), "0")</f>
        <v>0</v>
      </c>
    </row>
    <row r="64" spans="1:26" s="23" customFormat="1" x14ac:dyDescent="0.3">
      <c r="A64" s="3" t="str">
        <f>UStrip('User Ranking Form'!A66)</f>
        <v>I AM PARTICULARLY INTERESTED IN YOUR EXPERIENCE WORKING WITH NONPROFITS AND YOUR INSIGHT INTO THE BAY AREAS RECEPTIVENESS TO NONPROFIT ENDEAVORS BELOW IS A LIST OF QUESTIONS ID LIKE TO ASK</v>
      </c>
      <c r="B64" s="19" t="str">
        <f>IFERROR(MatchWords('Analysis Sheet'!A64, 'Values Table'!$A$2:$B$42)," ")</f>
        <v xml:space="preserve"> </v>
      </c>
      <c r="C64" s="49" t="str">
        <f ca="1">IF(NOT(ISBLANK($B$64)),TRIM(MID(SUBSTITUTE('Analysis Sheet'!$B$64,", ",REPT(" ",LEN('Analysis Sheet'!$B$64))),((COLUMNS('Analysis Sheet'!$B$64:$B$64)-(OFFSET('Values Table'!O2,0,0)))*LEN('Analysis Sheet'!$B$64))+1,LEN('Analysis Sheet'!$B$64))))</f>
        <v/>
      </c>
      <c r="D64" s="49" t="str">
        <f ca="1">IF(NOT(ISBLANK($B$64)),TRIM(MID(SUBSTITUTE('Analysis Sheet'!$B$64,", ",REPT(" ",LEN('Analysis Sheet'!$B$64))),((COLUMNS('Analysis Sheet'!$B$64:$B$64)-(OFFSET('Values Table'!P2,0,0)))*LEN('Analysis Sheet'!$B$64))+1,LEN('Analysis Sheet'!$B$64))))</f>
        <v/>
      </c>
      <c r="E64" s="49" t="str">
        <f ca="1">IF(NOT(ISBLANK($B$64)),TRIM(MID(SUBSTITUTE('Analysis Sheet'!$B$64,", ",REPT(" ",LEN('Analysis Sheet'!$B$64))),((COLUMNS('Analysis Sheet'!$B$64:$B$64)-(OFFSET('Values Table'!Q2,0,0)))*LEN('Analysis Sheet'!$B$64))+1,LEN('Analysis Sheet'!$B$64))))</f>
        <v/>
      </c>
      <c r="F64" s="49" t="str">
        <f ca="1">IF(NOT(ISBLANK($B$64)),TRIM(MID(SUBSTITUTE('Analysis Sheet'!$B$64,", ",REPT(" ",LEN('Analysis Sheet'!$B$64))),((COLUMNS('Analysis Sheet'!$B$64:$B$64)-(OFFSET('Values Table'!R2,0,0)))*LEN('Analysis Sheet'!$B$64))+1,LEN('Analysis Sheet'!$B$64))))</f>
        <v/>
      </c>
      <c r="G64" s="49" t="str">
        <f ca="1">IF(NOT(ISBLANK($B$64)),TRIM(MID(SUBSTITUTE('Analysis Sheet'!$B$64,", ",REPT(" ",LEN('Analysis Sheet'!$B$64))),((COLUMNS('Analysis Sheet'!$B$64:$B$64)-(OFFSET('Values Table'!S2,0,0)))*LEN('Analysis Sheet'!$B$64))+1,LEN('Analysis Sheet'!$B$64))))</f>
        <v/>
      </c>
      <c r="H64" s="49" t="str">
        <f ca="1">IF(NOT(ISBLANK($B$64)),TRIM(MID(SUBSTITUTE('Analysis Sheet'!$B$64,", ",REPT(" ",LEN('Analysis Sheet'!$B$64))),((COLUMNS('Analysis Sheet'!$B$64:$B$64)-(OFFSET('Values Table'!T2,0,0)))*LEN('Analysis Sheet'!$B$64))+1,LEN('Analysis Sheet'!$B$64))))</f>
        <v/>
      </c>
      <c r="I64" s="49" t="str">
        <f ca="1">IF(NOT(ISBLANK($B$64)),TRIM(MID(SUBSTITUTE('Analysis Sheet'!$B$64,", ",REPT(" ",LEN('Analysis Sheet'!$B$64))),((COLUMNS('Analysis Sheet'!$B$64:$B$64)-(OFFSET('Values Table'!U2,0,0)))*LEN('Analysis Sheet'!$B$64))+1,LEN('Analysis Sheet'!$B$64))))</f>
        <v/>
      </c>
      <c r="J64" s="49" t="str">
        <f ca="1">IF(NOT(ISBLANK($B$64)),TRIM(MID(SUBSTITUTE('Analysis Sheet'!$B$64,", ",REPT(" ",LEN('Analysis Sheet'!$B$64))),((COLUMNS('Analysis Sheet'!$B$64:$B$64)-(OFFSET('Values Table'!V2,0,0)))*LEN('Analysis Sheet'!$B$64))+1,LEN('Analysis Sheet'!$B$64))))</f>
        <v/>
      </c>
      <c r="K64" s="49" t="str">
        <f ca="1">IF(NOT(ISBLANK($B$64)),TRIM(MID(SUBSTITUTE('Analysis Sheet'!$B$64,", ",REPT(" ",LEN('Analysis Sheet'!$B$64))),((COLUMNS('Analysis Sheet'!$B$64:$B$64)-(OFFSET('Values Table'!W2,0,0)))*LEN('Analysis Sheet'!$B$64))+1,LEN('Analysis Sheet'!$B$64))))</f>
        <v/>
      </c>
      <c r="L64" s="49" t="str">
        <f ca="1">IF(NOT(ISBLANK($B$64)),TRIM(MID(SUBSTITUTE('Analysis Sheet'!$B$64,", ",REPT(" ",LEN('Analysis Sheet'!$B$64))),((COLUMNS('Analysis Sheet'!$B$64:$B$64)-(OFFSET('Values Table'!X2,0,0)))*LEN('Analysis Sheet'!$B$64))+1,LEN('Analysis Sheet'!$B$64))))</f>
        <v/>
      </c>
      <c r="M64" s="49" t="str">
        <f ca="1">IF(NOT(ISBLANK($B$64)),TRIM(MID(SUBSTITUTE('Analysis Sheet'!$B$64,", ",REPT(" ",LEN('Analysis Sheet'!$B$64))),((COLUMNS('Analysis Sheet'!$B$64:$B$64)-(OFFSET('Values Table'!Y2,0,0)))*LEN('Analysis Sheet'!$B$64))+1,LEN('Analysis Sheet'!$B$64))))</f>
        <v/>
      </c>
      <c r="N64" s="49" t="str">
        <f ca="1">IF(NOT(ISBLANK($B$64)),TRIM(MID(SUBSTITUTE('Analysis Sheet'!$B$64,", ",REPT(" ",LEN('Analysis Sheet'!$B$64))),((COLUMNS('Analysis Sheet'!$B$64:$B$64)-(OFFSET('Values Table'!Z2,0,0)))*LEN('Analysis Sheet'!$B$64))+1,LEN('Analysis Sheet'!$B$64))))</f>
        <v/>
      </c>
      <c r="O64" s="49" t="str">
        <f ca="1">IF(NOT(ISBLANK($B$64)),TRIM(MID(SUBSTITUTE('Analysis Sheet'!$B$64,", ",REPT(" ",LEN('Analysis Sheet'!$B$64))),((COLUMNS('Analysis Sheet'!$B$64:$B$64)-(OFFSET('Values Table'!AA2,0,0)))*LEN('Analysis Sheet'!$B$64))+1,LEN('Analysis Sheet'!$B$64))))</f>
        <v/>
      </c>
      <c r="P64" s="49" t="str">
        <f ca="1">IF(NOT(ISBLANK($B$64)),TRIM(MID(SUBSTITUTE('Analysis Sheet'!$B$64,", ",REPT(" ",LEN('Analysis Sheet'!$B$64))),((COLUMNS('Analysis Sheet'!$B$64:$B$64)-(OFFSET('Values Table'!AB2,0,0)))*LEN('Analysis Sheet'!$B$64))+1,LEN('Analysis Sheet'!$B$64))))</f>
        <v/>
      </c>
      <c r="Q64" s="49" t="str">
        <f ca="1">IF(NOT(ISBLANK($B$64)),TRIM(MID(SUBSTITUTE('Analysis Sheet'!$B$64,", ",REPT(" ",LEN('Analysis Sheet'!$B$64))),((COLUMNS('Analysis Sheet'!$B$64:$B$64)-(OFFSET('Values Table'!AC2,0,0)))*LEN('Analysis Sheet'!$B$64))+1,LEN('Analysis Sheet'!$B$64))))</f>
        <v/>
      </c>
      <c r="R64" s="49" t="str">
        <f ca="1">IF(NOT(ISBLANK($B$64)),TRIM(MID(SUBSTITUTE('Analysis Sheet'!$B$64,", ",REPT(" ",LEN('Analysis Sheet'!$B$64))),((COLUMNS('Analysis Sheet'!$B$64:$B$64)-(OFFSET('Values Table'!AD2,0,0)))*LEN('Analysis Sheet'!$B$64))+1,LEN('Analysis Sheet'!$B$64))))</f>
        <v/>
      </c>
      <c r="S64" s="49" t="str">
        <f ca="1">IF(NOT(ISBLANK($B$64)),TRIM(MID(SUBSTITUTE('Analysis Sheet'!$B$64,", ",REPT(" ",LEN('Analysis Sheet'!$B$64))),((COLUMNS('Analysis Sheet'!$B$64:$B$64)-(OFFSET('Values Table'!AE2,0,0)))*LEN('Analysis Sheet'!$B$64))+1,LEN('Analysis Sheet'!$B$64))))</f>
        <v/>
      </c>
      <c r="T64" s="49" t="str">
        <f ca="1">IF(NOT(ISBLANK($B$64)),TRIM(MID(SUBSTITUTE('Analysis Sheet'!$B$64,", ",REPT(" ",LEN('Analysis Sheet'!$B$64))),((COLUMNS('Analysis Sheet'!$B$64:$B$64)-(OFFSET('Values Table'!AF2,0,0)))*LEN('Analysis Sheet'!$B$64))+1,LEN('Analysis Sheet'!$B$64))))</f>
        <v/>
      </c>
      <c r="U64" s="49" t="str">
        <f ca="1">IF(NOT(ISBLANK($B$64)),TRIM(MID(SUBSTITUTE('Analysis Sheet'!$B$64,", ",REPT(" ",LEN('Analysis Sheet'!$B$64))),((COLUMNS('Analysis Sheet'!$B$64:$B$64)-(OFFSET('Values Table'!AG2,0,0)))*LEN('Analysis Sheet'!$B$64))+1,LEN('Analysis Sheet'!$B$64))))</f>
        <v/>
      </c>
      <c r="V64" s="49" t="str">
        <f ca="1">IF(NOT(ISBLANK($B$64)),TRIM(MID(SUBSTITUTE('Analysis Sheet'!$B$64,", ",REPT(" ",LEN('Analysis Sheet'!$B$64))),((COLUMNS('Analysis Sheet'!$B$64:$B$64)-(OFFSET('Values Table'!AH2,0,0)))*LEN('Analysis Sheet'!$B$64))+1,LEN('Analysis Sheet'!$B$64))))</f>
        <v/>
      </c>
      <c r="W64" s="41"/>
      <c r="X64" s="20" t="str">
        <f ca="1">UNIQUE($C$64:$V$85, 1)</f>
        <v/>
      </c>
      <c r="Y64" s="3" t="str">
        <f ca="1">IFERROR(VLOOKUP('Analysis Sheet'!X64,'Values Table'!$A$2:$B$42,2,FALSE), "0")</f>
        <v>0</v>
      </c>
      <c r="Z64" s="23">
        <f ca="1">SUM('Analysis Sheet'!Y64:Y85)</f>
        <v>0</v>
      </c>
    </row>
    <row r="65" spans="1:25" s="3" customFormat="1" ht="15" customHeight="1" x14ac:dyDescent="0.3">
      <c r="A65" s="3" t="str">
        <f>UStrip('User Ranking Form'!A67)</f>
        <v>IN YOUR EXPERIENCE WHAT SEPARATES A SUCCESSFUL NONPROFIT FROM AN UNSUCCESSFUL NONPROFIT</v>
      </c>
      <c r="B65" s="19" t="str">
        <f>IFERROR(MatchWords('Analysis Sheet'!A65, 'Values Table'!$A$2:$B$42)," ")</f>
        <v xml:space="preserve"> </v>
      </c>
      <c r="C65" s="49" t="str">
        <f ca="1">IF(NOT(ISBLANK($B$65)),TRIM(MID(SUBSTITUTE('Analysis Sheet'!$B$65,", ",REPT(" ",LEN('Analysis Sheet'!$B$65))),((COLUMNS('Analysis Sheet'!$B$65:$B$65)-(OFFSET('Values Table'!O2,0,0)))*LEN('Analysis Sheet'!$B$65))+1,LEN('Analysis Sheet'!$B$65))))</f>
        <v/>
      </c>
      <c r="D65" s="49" t="str">
        <f ca="1">IF(NOT(ISBLANK($B$65)),TRIM(MID(SUBSTITUTE('Analysis Sheet'!$B$65,", ",REPT(" ",LEN('Analysis Sheet'!$B$65))),((COLUMNS('Analysis Sheet'!$B$65:$B$65)-(OFFSET('Values Table'!P2,0,0)))*LEN('Analysis Sheet'!$B$65))+1,LEN('Analysis Sheet'!$B$65))))</f>
        <v/>
      </c>
      <c r="E65" s="49" t="str">
        <f ca="1">IF(NOT(ISBLANK($B$65)),TRIM(MID(SUBSTITUTE('Analysis Sheet'!$B$65,", ",REPT(" ",LEN('Analysis Sheet'!$B$65))),((COLUMNS('Analysis Sheet'!$B$65:$B$65)-(OFFSET('Values Table'!Q2,0,0)))*LEN('Analysis Sheet'!$B$65))+1,LEN('Analysis Sheet'!$B$65))))</f>
        <v/>
      </c>
      <c r="F65" s="49" t="str">
        <f ca="1">IF(NOT(ISBLANK($B$65)),TRIM(MID(SUBSTITUTE('Analysis Sheet'!$B$65,", ",REPT(" ",LEN('Analysis Sheet'!$B$65))),((COLUMNS('Analysis Sheet'!$B$65:$B$65)-(OFFSET('Values Table'!R2,0,0)))*LEN('Analysis Sheet'!$B$65))+1,LEN('Analysis Sheet'!$B$65))))</f>
        <v/>
      </c>
      <c r="G65" s="49" t="str">
        <f ca="1">IF(NOT(ISBLANK($B$65)),TRIM(MID(SUBSTITUTE('Analysis Sheet'!$B$65,", ",REPT(" ",LEN('Analysis Sheet'!$B$65))),((COLUMNS('Analysis Sheet'!$B$65:$B$65)-(OFFSET('Values Table'!S2,0,0)))*LEN('Analysis Sheet'!$B$65))+1,LEN('Analysis Sheet'!$B$65))))</f>
        <v/>
      </c>
      <c r="H65" s="49" t="str">
        <f ca="1">IF(NOT(ISBLANK($B$65)),TRIM(MID(SUBSTITUTE('Analysis Sheet'!$B$65,", ",REPT(" ",LEN('Analysis Sheet'!$B$65))),((COLUMNS('Analysis Sheet'!$B$65:$B$65)-(OFFSET('Values Table'!T2,0,0)))*LEN('Analysis Sheet'!$B$65))+1,LEN('Analysis Sheet'!$B$65))))</f>
        <v/>
      </c>
      <c r="I65" s="49" t="str">
        <f ca="1">IF(NOT(ISBLANK($B$65)),TRIM(MID(SUBSTITUTE('Analysis Sheet'!$B$65,", ",REPT(" ",LEN('Analysis Sheet'!$B$65))),((COLUMNS('Analysis Sheet'!$B$65:$B$65)-(OFFSET('Values Table'!U2,0,0)))*LEN('Analysis Sheet'!$B$65))+1,LEN('Analysis Sheet'!$B$65))))</f>
        <v/>
      </c>
      <c r="J65" s="49" t="str">
        <f ca="1">IF(NOT(ISBLANK($B$65)),TRIM(MID(SUBSTITUTE('Analysis Sheet'!$B$65,", ",REPT(" ",LEN('Analysis Sheet'!$B$65))),((COLUMNS('Analysis Sheet'!$B$65:$B$65)-(OFFSET('Values Table'!V2,0,0)))*LEN('Analysis Sheet'!$B$65))+1,LEN('Analysis Sheet'!$B$65))))</f>
        <v/>
      </c>
      <c r="K65" s="49" t="str">
        <f ca="1">IF(NOT(ISBLANK($B$65)),TRIM(MID(SUBSTITUTE('Analysis Sheet'!$B$65,", ",REPT(" ",LEN('Analysis Sheet'!$B$65))),((COLUMNS('Analysis Sheet'!$B$65:$B$65)-(OFFSET('Values Table'!W2,0,0)))*LEN('Analysis Sheet'!$B$65))+1,LEN('Analysis Sheet'!$B$65))))</f>
        <v/>
      </c>
      <c r="L65" s="49" t="str">
        <f ca="1">IF(NOT(ISBLANK($B$65)),TRIM(MID(SUBSTITUTE('Analysis Sheet'!$B$65,", ",REPT(" ",LEN('Analysis Sheet'!$B$65))),((COLUMNS('Analysis Sheet'!$B$65:$B$65)-(OFFSET('Values Table'!X2,0,0)))*LEN('Analysis Sheet'!$B$65))+1,LEN('Analysis Sheet'!$B$65))))</f>
        <v/>
      </c>
      <c r="M65" s="49" t="str">
        <f ca="1">IF(NOT(ISBLANK($B$65)),TRIM(MID(SUBSTITUTE('Analysis Sheet'!$B$65,", ",REPT(" ",LEN('Analysis Sheet'!$B$65))),((COLUMNS('Analysis Sheet'!$B$65:$B$65)-(OFFSET('Values Table'!Y2,0,0)))*LEN('Analysis Sheet'!$B$65))+1,LEN('Analysis Sheet'!$B$65))))</f>
        <v/>
      </c>
      <c r="N65" s="49" t="str">
        <f ca="1">IF(NOT(ISBLANK($B$65)),TRIM(MID(SUBSTITUTE('Analysis Sheet'!$B$65,", ",REPT(" ",LEN('Analysis Sheet'!$B$65))),((COLUMNS('Analysis Sheet'!$B$65:$B$65)-(OFFSET('Values Table'!Z2,0,0)))*LEN('Analysis Sheet'!$B$65))+1,LEN('Analysis Sheet'!$B$65))))</f>
        <v/>
      </c>
      <c r="O65" s="49" t="str">
        <f ca="1">IF(NOT(ISBLANK($B$65)),TRIM(MID(SUBSTITUTE('Analysis Sheet'!$B$65,", ",REPT(" ",LEN('Analysis Sheet'!$B$65))),((COLUMNS('Analysis Sheet'!$B$65:$B$65)-(OFFSET('Values Table'!AA2,0,0)))*LEN('Analysis Sheet'!$B$65))+1,LEN('Analysis Sheet'!$B$65))))</f>
        <v/>
      </c>
      <c r="P65" s="49" t="str">
        <f ca="1">IF(NOT(ISBLANK($B$65)),TRIM(MID(SUBSTITUTE('Analysis Sheet'!$B$65,", ",REPT(" ",LEN('Analysis Sheet'!$B$65))),((COLUMNS('Analysis Sheet'!$B$65:$B$65)-(OFFSET('Values Table'!AB2,0,0)))*LEN('Analysis Sheet'!$B$65))+1,LEN('Analysis Sheet'!$B$65))))</f>
        <v/>
      </c>
      <c r="Q65" s="49" t="str">
        <f ca="1">IF(NOT(ISBLANK($B$65)),TRIM(MID(SUBSTITUTE('Analysis Sheet'!$B$65,", ",REPT(" ",LEN('Analysis Sheet'!$B$65))),((COLUMNS('Analysis Sheet'!$B$65:$B$65)-(OFFSET('Values Table'!AC2,0,0)))*LEN('Analysis Sheet'!$B$65))+1,LEN('Analysis Sheet'!$B$65))))</f>
        <v/>
      </c>
      <c r="R65" s="49" t="str">
        <f ca="1">IF(NOT(ISBLANK($B$65)),TRIM(MID(SUBSTITUTE('Analysis Sheet'!$B$65,", ",REPT(" ",LEN('Analysis Sheet'!$B$65))),((COLUMNS('Analysis Sheet'!$B$65:$B$65)-(OFFSET('Values Table'!AD2,0,0)))*LEN('Analysis Sheet'!$B$65))+1,LEN('Analysis Sheet'!$B$65))))</f>
        <v/>
      </c>
      <c r="S65" s="49" t="str">
        <f ca="1">IF(NOT(ISBLANK($B$65)),TRIM(MID(SUBSTITUTE('Analysis Sheet'!$B$65,", ",REPT(" ",LEN('Analysis Sheet'!$B$65))),((COLUMNS('Analysis Sheet'!$B$65:$B$65)-(OFFSET('Values Table'!AE2,0,0)))*LEN('Analysis Sheet'!$B$65))+1,LEN('Analysis Sheet'!$B$65))))</f>
        <v/>
      </c>
      <c r="T65" s="49" t="str">
        <f ca="1">IF(NOT(ISBLANK($B$65)),TRIM(MID(SUBSTITUTE('Analysis Sheet'!$B$65,", ",REPT(" ",LEN('Analysis Sheet'!$B$65))),((COLUMNS('Analysis Sheet'!$B$65:$B$65)-(OFFSET('Values Table'!AF2,0,0)))*LEN('Analysis Sheet'!$B$65))+1,LEN('Analysis Sheet'!$B$65))))</f>
        <v/>
      </c>
      <c r="U65" s="49" t="str">
        <f ca="1">IF(NOT(ISBLANK($B$65)),TRIM(MID(SUBSTITUTE('Analysis Sheet'!$B$65,", ",REPT(" ",LEN('Analysis Sheet'!$B$65))),((COLUMNS('Analysis Sheet'!$B$65:$B$65)-(OFFSET('Values Table'!AG2,0,0)))*LEN('Analysis Sheet'!$B$65))+1,LEN('Analysis Sheet'!$B$65))))</f>
        <v/>
      </c>
      <c r="V65" s="49" t="str">
        <f ca="1">IF(NOT(ISBLANK($B$65)),TRIM(MID(SUBSTITUTE('Analysis Sheet'!$B$65,", ",REPT(" ",LEN('Analysis Sheet'!$B$65))),((COLUMNS('Analysis Sheet'!$B$65:$B$65)-(OFFSET('Values Table'!AH2,0,0)))*LEN('Analysis Sheet'!$B$65))+1,LEN('Analysis Sheet'!$B$65))))</f>
        <v/>
      </c>
      <c r="W65" s="41"/>
      <c r="X65" s="20" t="str">
        <f ca="1">UNIQUE($C$64:$V$85, 2)</f>
        <v/>
      </c>
      <c r="Y65" s="3" t="str">
        <f ca="1">IFERROR(VLOOKUP('Analysis Sheet'!X65,'Values Table'!$A$2:$B$42,2,FALSE), "0")</f>
        <v>0</v>
      </c>
    </row>
    <row r="66" spans="1:25" s="3" customFormat="1" ht="15" customHeight="1" x14ac:dyDescent="0.3">
      <c r="A66" s="3" t="str">
        <f>UStrip('User Ranking Form'!A68)</f>
        <v>CAN YOU CONNECT ME WITH ANY ORGANIZATION THAT MAY ALSO HAVE SIMILAR INTERESTS OR GOALS WHAT ARE SOME SITUATIONS THAT EARLY STAGE NONPROFITS FAIL TO ANTICIPATE</v>
      </c>
      <c r="B66" s="19" t="str">
        <f>IFERROR(MatchWords('Analysis Sheet'!A66, 'Values Table'!$A$2:$B$42)," ")</f>
        <v xml:space="preserve"> </v>
      </c>
      <c r="C66" s="49" t="str">
        <f ca="1">IF(NOT(ISBLANK($B$66)),TRIM(MID(SUBSTITUTE('Analysis Sheet'!$B$66,", ",REPT(" ",LEN('Analysis Sheet'!$B$66))),((COLUMNS('Analysis Sheet'!$B$66:$B$66)-(OFFSET('Values Table'!O2,0,0)))*LEN('Analysis Sheet'!$B$66))+1,LEN('Analysis Sheet'!$B$66))))</f>
        <v/>
      </c>
      <c r="D66" s="49" t="str">
        <f ca="1">IF(NOT(ISBLANK($B$66)),TRIM(MID(SUBSTITUTE('Analysis Sheet'!$B$66,", ",REPT(" ",LEN('Analysis Sheet'!$B$66))),((COLUMNS('Analysis Sheet'!$B$66:$B$66)-(OFFSET('Values Table'!P2,0,0)))*LEN('Analysis Sheet'!$B$66))+1,LEN('Analysis Sheet'!$B$66))))</f>
        <v/>
      </c>
      <c r="E66" s="49" t="str">
        <f ca="1">IF(NOT(ISBLANK($B$66)),TRIM(MID(SUBSTITUTE('Analysis Sheet'!$B$66,", ",REPT(" ",LEN('Analysis Sheet'!$B$66))),((COLUMNS('Analysis Sheet'!$B$66:$B$66)-(OFFSET('Values Table'!Q2,0,0)))*LEN('Analysis Sheet'!$B$66))+1,LEN('Analysis Sheet'!$B$66))))</f>
        <v/>
      </c>
      <c r="F66" s="49" t="str">
        <f ca="1">IF(NOT(ISBLANK($B$66)),TRIM(MID(SUBSTITUTE('Analysis Sheet'!$B$66,", ",REPT(" ",LEN('Analysis Sheet'!$B$66))),((COLUMNS('Analysis Sheet'!$B$66:$B$66)-(OFFSET('Values Table'!R2,0,0)))*LEN('Analysis Sheet'!$B$66))+1,LEN('Analysis Sheet'!$B$66))))</f>
        <v/>
      </c>
      <c r="G66" s="49" t="str">
        <f ca="1">IF(NOT(ISBLANK($B$66)),TRIM(MID(SUBSTITUTE('Analysis Sheet'!$B$66,", ",REPT(" ",LEN('Analysis Sheet'!$B$66))),((COLUMNS('Analysis Sheet'!$B$66:$B$66)-(OFFSET('Values Table'!S2,0,0)))*LEN('Analysis Sheet'!$B$66))+1,LEN('Analysis Sheet'!$B$66))))</f>
        <v/>
      </c>
      <c r="H66" s="49" t="str">
        <f ca="1">IF(NOT(ISBLANK($B$66)),TRIM(MID(SUBSTITUTE('Analysis Sheet'!$B$66,", ",REPT(" ",LEN('Analysis Sheet'!$B$66))),((COLUMNS('Analysis Sheet'!$B$66:$B$66)-(OFFSET('Values Table'!T2,0,0)))*LEN('Analysis Sheet'!$B$66))+1,LEN('Analysis Sheet'!$B$66))))</f>
        <v/>
      </c>
      <c r="I66" s="49" t="str">
        <f ca="1">IF(NOT(ISBLANK($B$66)),TRIM(MID(SUBSTITUTE('Analysis Sheet'!$B$66,", ",REPT(" ",LEN('Analysis Sheet'!$B$66))),((COLUMNS('Analysis Sheet'!$B$66:$B$66)-(OFFSET('Values Table'!U2,0,0)))*LEN('Analysis Sheet'!$B$66))+1,LEN('Analysis Sheet'!$B$66))))</f>
        <v/>
      </c>
      <c r="J66" s="49" t="str">
        <f ca="1">IF(NOT(ISBLANK($B$66)),TRIM(MID(SUBSTITUTE('Analysis Sheet'!$B$66,", ",REPT(" ",LEN('Analysis Sheet'!$B$66))),((COLUMNS('Analysis Sheet'!$B$66:$B$66)-(OFFSET('Values Table'!V2,0,0)))*LEN('Analysis Sheet'!$B$66))+1,LEN('Analysis Sheet'!$B$66))))</f>
        <v/>
      </c>
      <c r="K66" s="49" t="str">
        <f ca="1">IF(NOT(ISBLANK($B$66)),TRIM(MID(SUBSTITUTE('Analysis Sheet'!$B$66,", ",REPT(" ",LEN('Analysis Sheet'!$B$66))),((COLUMNS('Analysis Sheet'!$B$66:$B$66)-(OFFSET('Values Table'!W2,0,0)))*LEN('Analysis Sheet'!$B$66))+1,LEN('Analysis Sheet'!$B$66))))</f>
        <v/>
      </c>
      <c r="L66" s="49" t="str">
        <f ca="1">IF(NOT(ISBLANK($B$66)),TRIM(MID(SUBSTITUTE('Analysis Sheet'!$B$66,", ",REPT(" ",LEN('Analysis Sheet'!$B$66))),((COLUMNS('Analysis Sheet'!$B$66:$B$66)-(OFFSET('Values Table'!X2,0,0)))*LEN('Analysis Sheet'!$B$66))+1,LEN('Analysis Sheet'!$B$66))))</f>
        <v/>
      </c>
      <c r="M66" s="49" t="str">
        <f ca="1">IF(NOT(ISBLANK($B$66)),TRIM(MID(SUBSTITUTE('Analysis Sheet'!$B$66,", ",REPT(" ",LEN('Analysis Sheet'!$B$66))),((COLUMNS('Analysis Sheet'!$B$66:$B$66)-(OFFSET('Values Table'!Y2,0,0)))*LEN('Analysis Sheet'!$B$66))+1,LEN('Analysis Sheet'!$B$66))))</f>
        <v/>
      </c>
      <c r="N66" s="49" t="str">
        <f ca="1">IF(NOT(ISBLANK($B$66)),TRIM(MID(SUBSTITUTE('Analysis Sheet'!$B$66,", ",REPT(" ",LEN('Analysis Sheet'!$B$66))),((COLUMNS('Analysis Sheet'!$B$66:$B$66)-(OFFSET('Values Table'!Z2,0,0)))*LEN('Analysis Sheet'!$B$66))+1,LEN('Analysis Sheet'!$B$66))))</f>
        <v/>
      </c>
      <c r="O66" s="49" t="str">
        <f ca="1">IF(NOT(ISBLANK($B$66)),TRIM(MID(SUBSTITUTE('Analysis Sheet'!$B$66,", ",REPT(" ",LEN('Analysis Sheet'!$B$66))),((COLUMNS('Analysis Sheet'!$B$66:$B$66)-(OFFSET('Values Table'!AA2,0,0)))*LEN('Analysis Sheet'!$B$66))+1,LEN('Analysis Sheet'!$B$66))))</f>
        <v/>
      </c>
      <c r="P66" s="49" t="str">
        <f ca="1">IF(NOT(ISBLANK($B$66)),TRIM(MID(SUBSTITUTE('Analysis Sheet'!$B$66,", ",REPT(" ",LEN('Analysis Sheet'!$B$66))),((COLUMNS('Analysis Sheet'!$B$66:$B$66)-(OFFSET('Values Table'!AB2,0,0)))*LEN('Analysis Sheet'!$B$66))+1,LEN('Analysis Sheet'!$B$66))))</f>
        <v/>
      </c>
      <c r="Q66" s="49" t="str">
        <f ca="1">IF(NOT(ISBLANK($B$66)),TRIM(MID(SUBSTITUTE('Analysis Sheet'!$B$66,", ",REPT(" ",LEN('Analysis Sheet'!$B$66))),((COLUMNS('Analysis Sheet'!$B$66:$B$66)-(OFFSET('Values Table'!AC2,0,0)))*LEN('Analysis Sheet'!$B$66))+1,LEN('Analysis Sheet'!$B$66))))</f>
        <v/>
      </c>
      <c r="R66" s="49" t="str">
        <f ca="1">IF(NOT(ISBLANK($B$66)),TRIM(MID(SUBSTITUTE('Analysis Sheet'!$B$66,", ",REPT(" ",LEN('Analysis Sheet'!$B$66))),((COLUMNS('Analysis Sheet'!$B$66:$B$66)-(OFFSET('Values Table'!AD2,0,0)))*LEN('Analysis Sheet'!$B$66))+1,LEN('Analysis Sheet'!$B$66))))</f>
        <v/>
      </c>
      <c r="S66" s="49" t="str">
        <f ca="1">IF(NOT(ISBLANK($B$66)),TRIM(MID(SUBSTITUTE('Analysis Sheet'!$B$66,", ",REPT(" ",LEN('Analysis Sheet'!$B$66))),((COLUMNS('Analysis Sheet'!$B$66:$B$66)-(OFFSET('Values Table'!AE2,0,0)))*LEN('Analysis Sheet'!$B$66))+1,LEN('Analysis Sheet'!$B$66))))</f>
        <v/>
      </c>
      <c r="T66" s="49" t="str">
        <f ca="1">IF(NOT(ISBLANK($B$66)),TRIM(MID(SUBSTITUTE('Analysis Sheet'!$B$66,", ",REPT(" ",LEN('Analysis Sheet'!$B$66))),((COLUMNS('Analysis Sheet'!$B$66:$B$66)-(OFFSET('Values Table'!AF2,0,0)))*LEN('Analysis Sheet'!$B$66))+1,LEN('Analysis Sheet'!$B$66))))</f>
        <v/>
      </c>
      <c r="U66" s="49" t="str">
        <f ca="1">IF(NOT(ISBLANK($B$66)),TRIM(MID(SUBSTITUTE('Analysis Sheet'!$B$66,", ",REPT(" ",LEN('Analysis Sheet'!$B$66))),((COLUMNS('Analysis Sheet'!$B$66:$B$66)-(OFFSET('Values Table'!AG2,0,0)))*LEN('Analysis Sheet'!$B$66))+1,LEN('Analysis Sheet'!$B$66))))</f>
        <v/>
      </c>
      <c r="V66" s="49" t="str">
        <f ca="1">IF(NOT(ISBLANK($B$66)),TRIM(MID(SUBSTITUTE('Analysis Sheet'!$B$66,", ",REPT(" ",LEN('Analysis Sheet'!$B$66))),((COLUMNS('Analysis Sheet'!$B$66:$B$66)-(OFFSET('Values Table'!AH2,0,0)))*LEN('Analysis Sheet'!$B$66))+1,LEN('Analysis Sheet'!$B$66))))</f>
        <v/>
      </c>
      <c r="W66" s="41"/>
      <c r="X66" s="20" t="str">
        <f ca="1">UNIQUE($C$64:$V$85, 3)</f>
        <v/>
      </c>
      <c r="Y66" s="3" t="str">
        <f ca="1">IFERROR(VLOOKUP('Analysis Sheet'!X66,'Values Table'!$A$2:$B$42,2,FALSE), "0")</f>
        <v>0</v>
      </c>
    </row>
    <row r="67" spans="1:25" s="3" customFormat="1" ht="15" customHeight="1" x14ac:dyDescent="0.3">
      <c r="A67" s="3" t="str">
        <f>UStrip('User Ranking Form'!A69)</f>
        <v>DO YOU HAVE ANY BOOK RECOMMENDATIONS FOR HOW TO BUILD AND LAUNCH A NONPROFIT</v>
      </c>
      <c r="B67" s="19" t="str">
        <f>IFERROR(MatchWords('Analysis Sheet'!A67, 'Values Table'!$A$2:$B$42)," ")</f>
        <v xml:space="preserve"> </v>
      </c>
      <c r="C67" s="49" t="str">
        <f ca="1">IF(NOT(ISBLANK($B$67)),TRIM(MID(SUBSTITUTE('Analysis Sheet'!$B$67,", ",REPT(" ",LEN('Analysis Sheet'!$B$67))),((COLUMNS('Analysis Sheet'!$B$67:$B$67)-(OFFSET('Values Table'!O2,0,0)))*LEN('Analysis Sheet'!$B$67))+1,LEN('Analysis Sheet'!$B$67))))</f>
        <v/>
      </c>
      <c r="D67" s="49" t="str">
        <f ca="1">IF(NOT(ISBLANK($B$67)),TRIM(MID(SUBSTITUTE('Analysis Sheet'!$B$67,", ",REPT(" ",LEN('Analysis Sheet'!$B$67))),((COLUMNS('Analysis Sheet'!$B$67:$B$67)-(OFFSET('Values Table'!P2,0,0)))*LEN('Analysis Sheet'!$B$67))+1,LEN('Analysis Sheet'!$B$67))))</f>
        <v/>
      </c>
      <c r="E67" s="49" t="str">
        <f ca="1">IF(NOT(ISBLANK($B$67)),TRIM(MID(SUBSTITUTE('Analysis Sheet'!$B$67,", ",REPT(" ",LEN('Analysis Sheet'!$B$67))),((COLUMNS('Analysis Sheet'!$B$67:$B$67)-(OFFSET('Values Table'!Q2,0,0)))*LEN('Analysis Sheet'!$B$67))+1,LEN('Analysis Sheet'!$B$67))))</f>
        <v/>
      </c>
      <c r="F67" s="49" t="str">
        <f ca="1">IF(NOT(ISBLANK($B$67)),TRIM(MID(SUBSTITUTE('Analysis Sheet'!$B$67,", ",REPT(" ",LEN('Analysis Sheet'!$B$67))),((COLUMNS('Analysis Sheet'!$B$67:$B$67)-(OFFSET('Values Table'!R2,0,0)))*LEN('Analysis Sheet'!$B$67))+1,LEN('Analysis Sheet'!$B$67))))</f>
        <v/>
      </c>
      <c r="G67" s="49" t="str">
        <f ca="1">IF(NOT(ISBLANK($B$67)),TRIM(MID(SUBSTITUTE('Analysis Sheet'!$B$67,", ",REPT(" ",LEN('Analysis Sheet'!$B$67))),((COLUMNS('Analysis Sheet'!$B$67:$B$67)-(OFFSET('Values Table'!S2,0,0)))*LEN('Analysis Sheet'!$B$67))+1,LEN('Analysis Sheet'!$B$67))))</f>
        <v/>
      </c>
      <c r="H67" s="49" t="str">
        <f ca="1">IF(NOT(ISBLANK($B$67)),TRIM(MID(SUBSTITUTE('Analysis Sheet'!$B$67,", ",REPT(" ",LEN('Analysis Sheet'!$B$67))),((COLUMNS('Analysis Sheet'!$B$67:$B$67)-(OFFSET('Values Table'!T2,0,0)))*LEN('Analysis Sheet'!$B$67))+1,LEN('Analysis Sheet'!$B$67))))</f>
        <v/>
      </c>
      <c r="I67" s="49" t="str">
        <f ca="1">IF(NOT(ISBLANK($B$67)),TRIM(MID(SUBSTITUTE('Analysis Sheet'!$B$67,", ",REPT(" ",LEN('Analysis Sheet'!$B$67))),((COLUMNS('Analysis Sheet'!$B$67:$B$67)-(OFFSET('Values Table'!U2,0,0)))*LEN('Analysis Sheet'!$B$67))+1,LEN('Analysis Sheet'!$B$67))))</f>
        <v/>
      </c>
      <c r="J67" s="49" t="str">
        <f ca="1">IF(NOT(ISBLANK($B$67)),TRIM(MID(SUBSTITUTE('Analysis Sheet'!$B$67,", ",REPT(" ",LEN('Analysis Sheet'!$B$67))),((COLUMNS('Analysis Sheet'!$B$67:$B$67)-(OFFSET('Values Table'!V2,0,0)))*LEN('Analysis Sheet'!$B$67))+1,LEN('Analysis Sheet'!$B$67))))</f>
        <v/>
      </c>
      <c r="K67" s="49" t="str">
        <f ca="1">IF(NOT(ISBLANK($B$67)),TRIM(MID(SUBSTITUTE('Analysis Sheet'!$B$67,", ",REPT(" ",LEN('Analysis Sheet'!$B$67))),((COLUMNS('Analysis Sheet'!$B$67:$B$67)-(OFFSET('Values Table'!W2,0,0)))*LEN('Analysis Sheet'!$B$67))+1,LEN('Analysis Sheet'!$B$67))))</f>
        <v/>
      </c>
      <c r="L67" s="49" t="str">
        <f ca="1">IF(NOT(ISBLANK($B$67)),TRIM(MID(SUBSTITUTE('Analysis Sheet'!$B$67,", ",REPT(" ",LEN('Analysis Sheet'!$B$67))),((COLUMNS('Analysis Sheet'!$B$67:$B$67)-(OFFSET('Values Table'!X2,0,0)))*LEN('Analysis Sheet'!$B$67))+1,LEN('Analysis Sheet'!$B$67))))</f>
        <v/>
      </c>
      <c r="M67" s="49" t="str">
        <f ca="1">IF(NOT(ISBLANK($B$67)),TRIM(MID(SUBSTITUTE('Analysis Sheet'!$B$67,", ",REPT(" ",LEN('Analysis Sheet'!$B$67))),((COLUMNS('Analysis Sheet'!$B$67:$B$67)-(OFFSET('Values Table'!Y2,0,0)))*LEN('Analysis Sheet'!$B$67))+1,LEN('Analysis Sheet'!$B$67))))</f>
        <v/>
      </c>
      <c r="N67" s="49" t="str">
        <f ca="1">IF(NOT(ISBLANK($B$67)),TRIM(MID(SUBSTITUTE('Analysis Sheet'!$B$67,", ",REPT(" ",LEN('Analysis Sheet'!$B$67))),((COLUMNS('Analysis Sheet'!$B$67:$B$67)-(OFFSET('Values Table'!Z2,0,0)))*LEN('Analysis Sheet'!$B$67))+1,LEN('Analysis Sheet'!$B$67))))</f>
        <v/>
      </c>
      <c r="O67" s="49" t="str">
        <f ca="1">IF(NOT(ISBLANK($B$67)),TRIM(MID(SUBSTITUTE('Analysis Sheet'!$B$67,", ",REPT(" ",LEN('Analysis Sheet'!$B$67))),((COLUMNS('Analysis Sheet'!$B$67:$B$67)-(OFFSET('Values Table'!AA2,0,0)))*LEN('Analysis Sheet'!$B$67))+1,LEN('Analysis Sheet'!$B$67))))</f>
        <v/>
      </c>
      <c r="P67" s="49" t="str">
        <f ca="1">IF(NOT(ISBLANK($B$67)),TRIM(MID(SUBSTITUTE('Analysis Sheet'!$B$67,", ",REPT(" ",LEN('Analysis Sheet'!$B$67))),((COLUMNS('Analysis Sheet'!$B$67:$B$67)-(OFFSET('Values Table'!AB2,0,0)))*LEN('Analysis Sheet'!$B$67))+1,LEN('Analysis Sheet'!$B$67))))</f>
        <v/>
      </c>
      <c r="Q67" s="49" t="str">
        <f ca="1">IF(NOT(ISBLANK($B$67)),TRIM(MID(SUBSTITUTE('Analysis Sheet'!$B$67,", ",REPT(" ",LEN('Analysis Sheet'!$B$67))),((COLUMNS('Analysis Sheet'!$B$67:$B$67)-(OFFSET('Values Table'!AC2,0,0)))*LEN('Analysis Sheet'!$B$67))+1,LEN('Analysis Sheet'!$B$67))))</f>
        <v/>
      </c>
      <c r="R67" s="49" t="str">
        <f ca="1">IF(NOT(ISBLANK($B$67)),TRIM(MID(SUBSTITUTE('Analysis Sheet'!$B$67,", ",REPT(" ",LEN('Analysis Sheet'!$B$67))),((COLUMNS('Analysis Sheet'!$B$67:$B$67)-(OFFSET('Values Table'!AD2,0,0)))*LEN('Analysis Sheet'!$B$67))+1,LEN('Analysis Sheet'!$B$67))))</f>
        <v/>
      </c>
      <c r="S67" s="49" t="str">
        <f ca="1">IF(NOT(ISBLANK($B$67)),TRIM(MID(SUBSTITUTE('Analysis Sheet'!$B$67,", ",REPT(" ",LEN('Analysis Sheet'!$B$67))),((COLUMNS('Analysis Sheet'!$B$67:$B$67)-(OFFSET('Values Table'!AE2,0,0)))*LEN('Analysis Sheet'!$B$67))+1,LEN('Analysis Sheet'!$B$67))))</f>
        <v/>
      </c>
      <c r="T67" s="49" t="str">
        <f ca="1">IF(NOT(ISBLANK($B$67)),TRIM(MID(SUBSTITUTE('Analysis Sheet'!$B$67,", ",REPT(" ",LEN('Analysis Sheet'!$B$67))),((COLUMNS('Analysis Sheet'!$B$67:$B$67)-(OFFSET('Values Table'!AF2,0,0)))*LEN('Analysis Sheet'!$B$67))+1,LEN('Analysis Sheet'!$B$67))))</f>
        <v/>
      </c>
      <c r="U67" s="49" t="str">
        <f ca="1">IF(NOT(ISBLANK($B$67)),TRIM(MID(SUBSTITUTE('Analysis Sheet'!$B$67,", ",REPT(" ",LEN('Analysis Sheet'!$B$67))),((COLUMNS('Analysis Sheet'!$B$67:$B$67)-(OFFSET('Values Table'!AG2,0,0)))*LEN('Analysis Sheet'!$B$67))+1,LEN('Analysis Sheet'!$B$67))))</f>
        <v/>
      </c>
      <c r="V67" s="49" t="str">
        <f ca="1">IF(NOT(ISBLANK($B$67)),TRIM(MID(SUBSTITUTE('Analysis Sheet'!$B$67,", ",REPT(" ",LEN('Analysis Sheet'!$B$67))),((COLUMNS('Analysis Sheet'!$B$67:$B$67)-(OFFSET('Values Table'!AH2,0,0)))*LEN('Analysis Sheet'!$B$67))+1,LEN('Analysis Sheet'!$B$67))))</f>
        <v/>
      </c>
      <c r="W67" s="41"/>
      <c r="X67" s="20" t="str">
        <f ca="1">UNIQUE($C$64:$V$85, 4)</f>
        <v/>
      </c>
      <c r="Y67" s="3" t="str">
        <f ca="1">IFERROR(VLOOKUP('Analysis Sheet'!X67,'Values Table'!$A$2:$B$42,2,FALSE), "0")</f>
        <v>0</v>
      </c>
    </row>
    <row r="68" spans="1:25" s="3" customFormat="1" ht="15" customHeight="1" x14ac:dyDescent="0.3">
      <c r="A68" s="3" t="str">
        <f>UStrip('User Ranking Form'!A70)</f>
        <v/>
      </c>
      <c r="B68" s="19" t="str">
        <f>IFERROR(MatchWords('Analysis Sheet'!A68, 'Values Table'!$A$2:$B$42)," ")</f>
        <v xml:space="preserve"> </v>
      </c>
      <c r="C68" s="49" t="str">
        <f ca="1">IF(NOT(ISBLANK($B$68)),TRIM(MID(SUBSTITUTE('Analysis Sheet'!$B$68,", ",REPT(" ",LEN('Analysis Sheet'!$B$68))),((COLUMNS('Analysis Sheet'!$B$68:$B$68)-(OFFSET('Values Table'!O2,0,0)))*LEN('Analysis Sheet'!$B$68))+1,LEN('Analysis Sheet'!$B$68))))</f>
        <v/>
      </c>
      <c r="D68" s="49" t="str">
        <f ca="1">IF(NOT(ISBLANK($B$68)),TRIM(MID(SUBSTITUTE('Analysis Sheet'!$B$68,", ",REPT(" ",LEN('Analysis Sheet'!$B$68))),((COLUMNS('Analysis Sheet'!$B$68:$B$68)-(OFFSET('Values Table'!P2,0,0)))*LEN('Analysis Sheet'!$B$68))+1,LEN('Analysis Sheet'!$B$68))))</f>
        <v/>
      </c>
      <c r="E68" s="49" t="str">
        <f ca="1">IF(NOT(ISBLANK($B$68)),TRIM(MID(SUBSTITUTE('Analysis Sheet'!$B$68,", ",REPT(" ",LEN('Analysis Sheet'!$B$68))),((COLUMNS('Analysis Sheet'!$B$68:$B$68)-(OFFSET('Values Table'!Q2,0,0)))*LEN('Analysis Sheet'!$B$68))+1,LEN('Analysis Sheet'!$B$68))))</f>
        <v/>
      </c>
      <c r="F68" s="49" t="str">
        <f ca="1">IF(NOT(ISBLANK($B$68)),TRIM(MID(SUBSTITUTE('Analysis Sheet'!$B$68,", ",REPT(" ",LEN('Analysis Sheet'!$B$68))),((COLUMNS('Analysis Sheet'!$B$68:$B$68)-(OFFSET('Values Table'!R2,0,0)))*LEN('Analysis Sheet'!$B$68))+1,LEN('Analysis Sheet'!$B$68))))</f>
        <v/>
      </c>
      <c r="G68" s="49" t="str">
        <f ca="1">IF(NOT(ISBLANK($B$68)),TRIM(MID(SUBSTITUTE('Analysis Sheet'!$B$68,", ",REPT(" ",LEN('Analysis Sheet'!$B$68))),((COLUMNS('Analysis Sheet'!$B$68:$B$68)-(OFFSET('Values Table'!S2,0,0)))*LEN('Analysis Sheet'!$B$68))+1,LEN('Analysis Sheet'!$B$68))))</f>
        <v/>
      </c>
      <c r="H68" s="49" t="str">
        <f ca="1">IF(NOT(ISBLANK($B$68)),TRIM(MID(SUBSTITUTE('Analysis Sheet'!$B$68,", ",REPT(" ",LEN('Analysis Sheet'!$B$68))),((COLUMNS('Analysis Sheet'!$B$68:$B$68)-(OFFSET('Values Table'!T2,0,0)))*LEN('Analysis Sheet'!$B$68))+1,LEN('Analysis Sheet'!$B$68))))</f>
        <v/>
      </c>
      <c r="I68" s="49" t="str">
        <f ca="1">IF(NOT(ISBLANK($B$68)),TRIM(MID(SUBSTITUTE('Analysis Sheet'!$B$68,", ",REPT(" ",LEN('Analysis Sheet'!$B$68))),((COLUMNS('Analysis Sheet'!$B$68:$B$68)-(OFFSET('Values Table'!U2,0,0)))*LEN('Analysis Sheet'!$B$68))+1,LEN('Analysis Sheet'!$B$68))))</f>
        <v/>
      </c>
      <c r="J68" s="49" t="str">
        <f ca="1">IF(NOT(ISBLANK($B$68)),TRIM(MID(SUBSTITUTE('Analysis Sheet'!$B$68,", ",REPT(" ",LEN('Analysis Sheet'!$B$68))),((COLUMNS('Analysis Sheet'!$B$68:$B$68)-(OFFSET('Values Table'!V2,0,0)))*LEN('Analysis Sheet'!$B$68))+1,LEN('Analysis Sheet'!$B$68))))</f>
        <v/>
      </c>
      <c r="K68" s="49" t="str">
        <f ca="1">IF(NOT(ISBLANK($B$68)),TRIM(MID(SUBSTITUTE('Analysis Sheet'!$B$68,", ",REPT(" ",LEN('Analysis Sheet'!$B$68))),((COLUMNS('Analysis Sheet'!$B$68:$B$68)-(OFFSET('Values Table'!W2,0,0)))*LEN('Analysis Sheet'!$B$68))+1,LEN('Analysis Sheet'!$B$68))))</f>
        <v/>
      </c>
      <c r="L68" s="49" t="str">
        <f ca="1">IF(NOT(ISBLANK($B$68)),TRIM(MID(SUBSTITUTE('Analysis Sheet'!$B$68,", ",REPT(" ",LEN('Analysis Sheet'!$B$68))),((COLUMNS('Analysis Sheet'!$B$68:$B$68)-(OFFSET('Values Table'!X2,0,0)))*LEN('Analysis Sheet'!$B$68))+1,LEN('Analysis Sheet'!$B$68))))</f>
        <v/>
      </c>
      <c r="M68" s="49" t="str">
        <f ca="1">IF(NOT(ISBLANK($B$68)),TRIM(MID(SUBSTITUTE('Analysis Sheet'!$B$68,", ",REPT(" ",LEN('Analysis Sheet'!$B$68))),((COLUMNS('Analysis Sheet'!$B$68:$B$68)-(OFFSET('Values Table'!Y2,0,0)))*LEN('Analysis Sheet'!$B$68))+1,LEN('Analysis Sheet'!$B$68))))</f>
        <v/>
      </c>
      <c r="N68" s="49" t="str">
        <f ca="1">IF(NOT(ISBLANK($B$68)),TRIM(MID(SUBSTITUTE('Analysis Sheet'!$B$68,", ",REPT(" ",LEN('Analysis Sheet'!$B$68))),((COLUMNS('Analysis Sheet'!$B$68:$B$68)-(OFFSET('Values Table'!Z2,0,0)))*LEN('Analysis Sheet'!$B$68))+1,LEN('Analysis Sheet'!$B$68))))</f>
        <v/>
      </c>
      <c r="O68" s="49" t="str">
        <f ca="1">IF(NOT(ISBLANK($B$68)),TRIM(MID(SUBSTITUTE('Analysis Sheet'!$B$68,", ",REPT(" ",LEN('Analysis Sheet'!$B$68))),((COLUMNS('Analysis Sheet'!$B$68:$B$68)-(OFFSET('Values Table'!AA2,0,0)))*LEN('Analysis Sheet'!$B$68))+1,LEN('Analysis Sheet'!$B$68))))</f>
        <v/>
      </c>
      <c r="P68" s="49" t="str">
        <f ca="1">IF(NOT(ISBLANK($B$68)),TRIM(MID(SUBSTITUTE('Analysis Sheet'!$B$68,", ",REPT(" ",LEN('Analysis Sheet'!$B$68))),((COLUMNS('Analysis Sheet'!$B$68:$B$68)-(OFFSET('Values Table'!AB2,0,0)))*LEN('Analysis Sheet'!$B$68))+1,LEN('Analysis Sheet'!$B$68))))</f>
        <v/>
      </c>
      <c r="Q68" s="49" t="str">
        <f ca="1">IF(NOT(ISBLANK($B$68)),TRIM(MID(SUBSTITUTE('Analysis Sheet'!$B$68,", ",REPT(" ",LEN('Analysis Sheet'!$B$68))),((COLUMNS('Analysis Sheet'!$B$68:$B$68)-(OFFSET('Values Table'!AC2,0,0)))*LEN('Analysis Sheet'!$B$68))+1,LEN('Analysis Sheet'!$B$68))))</f>
        <v/>
      </c>
      <c r="R68" s="49" t="str">
        <f ca="1">IF(NOT(ISBLANK($B$68)),TRIM(MID(SUBSTITUTE('Analysis Sheet'!$B$68,", ",REPT(" ",LEN('Analysis Sheet'!$B$68))),((COLUMNS('Analysis Sheet'!$B$68:$B$68)-(OFFSET('Values Table'!AD2,0,0)))*LEN('Analysis Sheet'!$B$68))+1,LEN('Analysis Sheet'!$B$68))))</f>
        <v/>
      </c>
      <c r="S68" s="49" t="str">
        <f ca="1">IF(NOT(ISBLANK($B$68)),TRIM(MID(SUBSTITUTE('Analysis Sheet'!$B$68,", ",REPT(" ",LEN('Analysis Sheet'!$B$68))),((COLUMNS('Analysis Sheet'!$B$68:$B$68)-(OFFSET('Values Table'!AE2,0,0)))*LEN('Analysis Sheet'!$B$68))+1,LEN('Analysis Sheet'!$B$68))))</f>
        <v/>
      </c>
      <c r="T68" s="49" t="str">
        <f ca="1">IF(NOT(ISBLANK($B$68)),TRIM(MID(SUBSTITUTE('Analysis Sheet'!$B$68,", ",REPT(" ",LEN('Analysis Sheet'!$B$68))),((COLUMNS('Analysis Sheet'!$B$68:$B$68)-(OFFSET('Values Table'!AF2,0,0)))*LEN('Analysis Sheet'!$B$68))+1,LEN('Analysis Sheet'!$B$68))))</f>
        <v/>
      </c>
      <c r="U68" s="49" t="str">
        <f ca="1">IF(NOT(ISBLANK($B$68)),TRIM(MID(SUBSTITUTE('Analysis Sheet'!$B$68,", ",REPT(" ",LEN('Analysis Sheet'!$B$68))),((COLUMNS('Analysis Sheet'!$B$68:$B$68)-(OFFSET('Values Table'!AG2,0,0)))*LEN('Analysis Sheet'!$B$68))+1,LEN('Analysis Sheet'!$B$68))))</f>
        <v/>
      </c>
      <c r="V68" s="49" t="str">
        <f ca="1">IF(NOT(ISBLANK($B$68)),TRIM(MID(SUBSTITUTE('Analysis Sheet'!$B$68,", ",REPT(" ",LEN('Analysis Sheet'!$B$68))),((COLUMNS('Analysis Sheet'!$B$68:$B$68)-(OFFSET('Values Table'!AH2,0,0)))*LEN('Analysis Sheet'!$B$68))+1,LEN('Analysis Sheet'!$B$68))))</f>
        <v/>
      </c>
      <c r="W68" s="41"/>
      <c r="X68" s="20" t="str">
        <f ca="1">UNIQUE($C$64:$V$85, 5)</f>
        <v/>
      </c>
      <c r="Y68" s="3" t="str">
        <f ca="1">IFERROR(VLOOKUP('Analysis Sheet'!X68,'Values Table'!$A$2:$B$42,2,FALSE), "0")</f>
        <v>0</v>
      </c>
    </row>
    <row r="69" spans="1:25" s="3" customFormat="1" ht="15" customHeight="1" x14ac:dyDescent="0.3">
      <c r="A69" s="3" t="str">
        <f>UStrip('User Ranking Form'!A71)</f>
        <v/>
      </c>
      <c r="B69" s="19" t="str">
        <f>IFERROR(MatchWords('Analysis Sheet'!A69, 'Values Table'!$A$2:$B$42)," ")</f>
        <v xml:space="preserve"> </v>
      </c>
      <c r="C69" s="49" t="str">
        <f ca="1">IF(NOT(ISBLANK($B$69)),TRIM(MID(SUBSTITUTE('Analysis Sheet'!$B$69,", ",REPT(" ",LEN('Analysis Sheet'!$B$69))),((COLUMNS('Analysis Sheet'!$B$69:$B$69)-(OFFSET('Values Table'!O2,0,0)))*LEN('Analysis Sheet'!$B$69))+1,LEN('Analysis Sheet'!$B$69))))</f>
        <v/>
      </c>
      <c r="D69" s="49" t="str">
        <f ca="1">IF(NOT(ISBLANK($B$69)),TRIM(MID(SUBSTITUTE('Analysis Sheet'!$B$69,", ",REPT(" ",LEN('Analysis Sheet'!$B$69))),((COLUMNS('Analysis Sheet'!$B$69:$B$69)-(OFFSET('Values Table'!P2,0,0)))*LEN('Analysis Sheet'!$B$69))+1,LEN('Analysis Sheet'!$B$69))))</f>
        <v/>
      </c>
      <c r="E69" s="49" t="str">
        <f ca="1">IF(NOT(ISBLANK($B$69)),TRIM(MID(SUBSTITUTE('Analysis Sheet'!$B$69,", ",REPT(" ",LEN('Analysis Sheet'!$B$69))),((COLUMNS('Analysis Sheet'!$B$69:$B$69)-(OFFSET('Values Table'!Q2,0,0)))*LEN('Analysis Sheet'!$B$69))+1,LEN('Analysis Sheet'!$B$69))))</f>
        <v/>
      </c>
      <c r="F69" s="49" t="str">
        <f ca="1">IF(NOT(ISBLANK($B$69)),TRIM(MID(SUBSTITUTE('Analysis Sheet'!$B$69,", ",REPT(" ",LEN('Analysis Sheet'!$B$69))),((COLUMNS('Analysis Sheet'!$B$69:$B$69)-(OFFSET('Values Table'!R2,0,0)))*LEN('Analysis Sheet'!$B$69))+1,LEN('Analysis Sheet'!$B$69))))</f>
        <v/>
      </c>
      <c r="G69" s="49" t="str">
        <f ca="1">IF(NOT(ISBLANK($B$69)),TRIM(MID(SUBSTITUTE('Analysis Sheet'!$B$69,", ",REPT(" ",LEN('Analysis Sheet'!$B$69))),((COLUMNS('Analysis Sheet'!$B$69:$B$69)-(OFFSET('Values Table'!S2,0,0)))*LEN('Analysis Sheet'!$B$69))+1,LEN('Analysis Sheet'!$B$69))))</f>
        <v/>
      </c>
      <c r="H69" s="49" t="str">
        <f ca="1">IF(NOT(ISBLANK($B$69)),TRIM(MID(SUBSTITUTE('Analysis Sheet'!$B$69,", ",REPT(" ",LEN('Analysis Sheet'!$B$69))),((COLUMNS('Analysis Sheet'!$B$69:$B$69)-(OFFSET('Values Table'!T2,0,0)))*LEN('Analysis Sheet'!$B$69))+1,LEN('Analysis Sheet'!$B$69))))</f>
        <v/>
      </c>
      <c r="I69" s="49" t="str">
        <f ca="1">IF(NOT(ISBLANK($B$69)),TRIM(MID(SUBSTITUTE('Analysis Sheet'!$B$69,", ",REPT(" ",LEN('Analysis Sheet'!$B$69))),((COLUMNS('Analysis Sheet'!$B$69:$B$69)-(OFFSET('Values Table'!U2,0,0)))*LEN('Analysis Sheet'!$B$69))+1,LEN('Analysis Sheet'!$B$69))))</f>
        <v/>
      </c>
      <c r="J69" s="49" t="str">
        <f ca="1">IF(NOT(ISBLANK($B$69)),TRIM(MID(SUBSTITUTE('Analysis Sheet'!$B$69,", ",REPT(" ",LEN('Analysis Sheet'!$B$69))),((COLUMNS('Analysis Sheet'!$B$69:$B$69)-(OFFSET('Values Table'!V2,0,0)))*LEN('Analysis Sheet'!$B$69))+1,LEN('Analysis Sheet'!$B$69))))</f>
        <v/>
      </c>
      <c r="K69" s="49" t="str">
        <f ca="1">IF(NOT(ISBLANK($B$69)),TRIM(MID(SUBSTITUTE('Analysis Sheet'!$B$69,", ",REPT(" ",LEN('Analysis Sheet'!$B$69))),((COLUMNS('Analysis Sheet'!$B$69:$B$69)-(OFFSET('Values Table'!W2,0,0)))*LEN('Analysis Sheet'!$B$69))+1,LEN('Analysis Sheet'!$B$69))))</f>
        <v/>
      </c>
      <c r="L69" s="49" t="str">
        <f ca="1">IF(NOT(ISBLANK($B$69)),TRIM(MID(SUBSTITUTE('Analysis Sheet'!$B$69,", ",REPT(" ",LEN('Analysis Sheet'!$B$69))),((COLUMNS('Analysis Sheet'!$B$69:$B$69)-(OFFSET('Values Table'!X2,0,0)))*LEN('Analysis Sheet'!$B$69))+1,LEN('Analysis Sheet'!$B$69))))</f>
        <v/>
      </c>
      <c r="M69" s="49" t="str">
        <f ca="1">IF(NOT(ISBLANK($B$69)),TRIM(MID(SUBSTITUTE('Analysis Sheet'!$B$69,", ",REPT(" ",LEN('Analysis Sheet'!$B$69))),((COLUMNS('Analysis Sheet'!$B$69:$B$69)-(OFFSET('Values Table'!Y2,0,0)))*LEN('Analysis Sheet'!$B$69))+1,LEN('Analysis Sheet'!$B$69))))</f>
        <v/>
      </c>
      <c r="N69" s="49" t="str">
        <f ca="1">IF(NOT(ISBLANK($B$69)),TRIM(MID(SUBSTITUTE('Analysis Sheet'!$B$69,", ",REPT(" ",LEN('Analysis Sheet'!$B$69))),((COLUMNS('Analysis Sheet'!$B$69:$B$69)-(OFFSET('Values Table'!Z2,0,0)))*LEN('Analysis Sheet'!$B$69))+1,LEN('Analysis Sheet'!$B$69))))</f>
        <v/>
      </c>
      <c r="O69" s="49" t="str">
        <f ca="1">IF(NOT(ISBLANK($B$69)),TRIM(MID(SUBSTITUTE('Analysis Sheet'!$B$69,", ",REPT(" ",LEN('Analysis Sheet'!$B$69))),((COLUMNS('Analysis Sheet'!$B$69:$B$69)-(OFFSET('Values Table'!AA2,0,0)))*LEN('Analysis Sheet'!$B$69))+1,LEN('Analysis Sheet'!$B$69))))</f>
        <v/>
      </c>
      <c r="P69" s="49" t="str">
        <f ca="1">IF(NOT(ISBLANK($B$69)),TRIM(MID(SUBSTITUTE('Analysis Sheet'!$B$69,", ",REPT(" ",LEN('Analysis Sheet'!$B$69))),((COLUMNS('Analysis Sheet'!$B$69:$B$69)-(OFFSET('Values Table'!AB2,0,0)))*LEN('Analysis Sheet'!$B$69))+1,LEN('Analysis Sheet'!$B$69))))</f>
        <v/>
      </c>
      <c r="Q69" s="49" t="str">
        <f ca="1">IF(NOT(ISBLANK($B$69)),TRIM(MID(SUBSTITUTE('Analysis Sheet'!$B$69,", ",REPT(" ",LEN('Analysis Sheet'!$B$69))),((COLUMNS('Analysis Sheet'!$B$69:$B$69)-(OFFSET('Values Table'!AC2,0,0)))*LEN('Analysis Sheet'!$B$69))+1,LEN('Analysis Sheet'!$B$69))))</f>
        <v/>
      </c>
      <c r="R69" s="49" t="str">
        <f ca="1">IF(NOT(ISBLANK($B$69)),TRIM(MID(SUBSTITUTE('Analysis Sheet'!$B$69,", ",REPT(" ",LEN('Analysis Sheet'!$B$69))),((COLUMNS('Analysis Sheet'!$B$69:$B$69)-(OFFSET('Values Table'!AD2,0,0)))*LEN('Analysis Sheet'!$B$69))+1,LEN('Analysis Sheet'!$B$69))))</f>
        <v/>
      </c>
      <c r="S69" s="49" t="str">
        <f ca="1">IF(NOT(ISBLANK($B$69)),TRIM(MID(SUBSTITUTE('Analysis Sheet'!$B$69,", ",REPT(" ",LEN('Analysis Sheet'!$B$69))),((COLUMNS('Analysis Sheet'!$B$69:$B$69)-(OFFSET('Values Table'!AE2,0,0)))*LEN('Analysis Sheet'!$B$69))+1,LEN('Analysis Sheet'!$B$69))))</f>
        <v/>
      </c>
      <c r="T69" s="49" t="str">
        <f ca="1">IF(NOT(ISBLANK($B$69)),TRIM(MID(SUBSTITUTE('Analysis Sheet'!$B$69,", ",REPT(" ",LEN('Analysis Sheet'!$B$69))),((COLUMNS('Analysis Sheet'!$B$69:$B$69)-(OFFSET('Values Table'!AF2,0,0)))*LEN('Analysis Sheet'!$B$69))+1,LEN('Analysis Sheet'!$B$69))))</f>
        <v/>
      </c>
      <c r="U69" s="49" t="str">
        <f ca="1">IF(NOT(ISBLANK($B$69)),TRIM(MID(SUBSTITUTE('Analysis Sheet'!$B$69,", ",REPT(" ",LEN('Analysis Sheet'!$B$69))),((COLUMNS('Analysis Sheet'!$B$69:$B$69)-(OFFSET('Values Table'!AG2,0,0)))*LEN('Analysis Sheet'!$B$69))+1,LEN('Analysis Sheet'!$B$69))))</f>
        <v/>
      </c>
      <c r="V69" s="49" t="str">
        <f ca="1">IF(NOT(ISBLANK($B$69)),TRIM(MID(SUBSTITUTE('Analysis Sheet'!$B$69,", ",REPT(" ",LEN('Analysis Sheet'!$B$69))),((COLUMNS('Analysis Sheet'!$B$69:$B$69)-(OFFSET('Values Table'!AH2,0,0)))*LEN('Analysis Sheet'!$B$69))+1,LEN('Analysis Sheet'!$B$69))))</f>
        <v/>
      </c>
      <c r="W69" s="41"/>
      <c r="X69" s="20" t="str">
        <f ca="1">UNIQUE($C$64:$V$85, 6)</f>
        <v/>
      </c>
      <c r="Y69" s="3" t="str">
        <f ca="1">IFERROR(VLOOKUP('Analysis Sheet'!X69,'Values Table'!$A$2:$B$42,2,FALSE), "0")</f>
        <v>0</v>
      </c>
    </row>
    <row r="70" spans="1:25" s="3" customFormat="1" ht="15" customHeight="1" x14ac:dyDescent="0.3">
      <c r="A70" s="3" t="str">
        <f>UStrip('User Ranking Form'!A72)</f>
        <v/>
      </c>
      <c r="B70" s="19" t="str">
        <f>IFERROR(MatchWords('Analysis Sheet'!A70, 'Values Table'!$A$2:$B$42)," ")</f>
        <v xml:space="preserve"> </v>
      </c>
      <c r="C70" s="49" t="str">
        <f ca="1">IF(NOT(ISBLANK($B$70)),TRIM(MID(SUBSTITUTE('Analysis Sheet'!$B$70,", ",REPT(" ",LEN('Analysis Sheet'!$B$70))),((COLUMNS('Analysis Sheet'!$B$70:$B$70)-(OFFSET('Values Table'!O2,0,0)))*LEN('Analysis Sheet'!$B$70))+1,LEN('Analysis Sheet'!$B$70))))</f>
        <v/>
      </c>
      <c r="D70" s="49" t="str">
        <f ca="1">IF(NOT(ISBLANK($B$70)),TRIM(MID(SUBSTITUTE('Analysis Sheet'!$B$70,", ",REPT(" ",LEN('Analysis Sheet'!$B$70))),((COLUMNS('Analysis Sheet'!$B$70:$B$70)-(OFFSET('Values Table'!P2,0,0)))*LEN('Analysis Sheet'!$B$70))+1,LEN('Analysis Sheet'!$B$70))))</f>
        <v/>
      </c>
      <c r="E70" s="49" t="str">
        <f ca="1">IF(NOT(ISBLANK($B$70)),TRIM(MID(SUBSTITUTE('Analysis Sheet'!$B$70,", ",REPT(" ",LEN('Analysis Sheet'!$B$70))),((COLUMNS('Analysis Sheet'!$B$70:$B$70)-(OFFSET('Values Table'!Q2,0,0)))*LEN('Analysis Sheet'!$B$70))+1,LEN('Analysis Sheet'!$B$70))))</f>
        <v/>
      </c>
      <c r="F70" s="49" t="str">
        <f ca="1">IF(NOT(ISBLANK($B$70)),TRIM(MID(SUBSTITUTE('Analysis Sheet'!$B$70,", ",REPT(" ",LEN('Analysis Sheet'!$B$70))),((COLUMNS('Analysis Sheet'!$B$70:$B$70)-(OFFSET('Values Table'!R2,0,0)))*LEN('Analysis Sheet'!$B$70))+1,LEN('Analysis Sheet'!$B$70))))</f>
        <v/>
      </c>
      <c r="G70" s="49" t="str">
        <f ca="1">IF(NOT(ISBLANK($B$70)),TRIM(MID(SUBSTITUTE('Analysis Sheet'!$B$70,", ",REPT(" ",LEN('Analysis Sheet'!$B$70))),((COLUMNS('Analysis Sheet'!$B$70:$B$70)-(OFFSET('Values Table'!S2,0,0)))*LEN('Analysis Sheet'!$B$70))+1,LEN('Analysis Sheet'!$B$70))))</f>
        <v/>
      </c>
      <c r="H70" s="49" t="str">
        <f ca="1">IF(NOT(ISBLANK($B$70)),TRIM(MID(SUBSTITUTE('Analysis Sheet'!$B$70,", ",REPT(" ",LEN('Analysis Sheet'!$B$70))),((COLUMNS('Analysis Sheet'!$B$70:$B$70)-(OFFSET('Values Table'!T2,0,0)))*LEN('Analysis Sheet'!$B$70))+1,LEN('Analysis Sheet'!$B$70))))</f>
        <v/>
      </c>
      <c r="I70" s="49" t="str">
        <f ca="1">IF(NOT(ISBLANK($B$70)),TRIM(MID(SUBSTITUTE('Analysis Sheet'!$B$70,", ",REPT(" ",LEN('Analysis Sheet'!$B$70))),((COLUMNS('Analysis Sheet'!$B$70:$B$70)-(OFFSET('Values Table'!U2,0,0)))*LEN('Analysis Sheet'!$B$70))+1,LEN('Analysis Sheet'!$B$70))))</f>
        <v/>
      </c>
      <c r="J70" s="49" t="str">
        <f ca="1">IF(NOT(ISBLANK($B$70)),TRIM(MID(SUBSTITUTE('Analysis Sheet'!$B$70,", ",REPT(" ",LEN('Analysis Sheet'!$B$70))),((COLUMNS('Analysis Sheet'!$B$70:$B$70)-(OFFSET('Values Table'!V2,0,0)))*LEN('Analysis Sheet'!$B$70))+1,LEN('Analysis Sheet'!$B$70))))</f>
        <v/>
      </c>
      <c r="K70" s="49" t="str">
        <f ca="1">IF(NOT(ISBLANK($B$70)),TRIM(MID(SUBSTITUTE('Analysis Sheet'!$B$70,", ",REPT(" ",LEN('Analysis Sheet'!$B$70))),((COLUMNS('Analysis Sheet'!$B$70:$B$70)-(OFFSET('Values Table'!W2,0,0)))*LEN('Analysis Sheet'!$B$70))+1,LEN('Analysis Sheet'!$B$70))))</f>
        <v/>
      </c>
      <c r="L70" s="49" t="str">
        <f ca="1">IF(NOT(ISBLANK($B$70)),TRIM(MID(SUBSTITUTE('Analysis Sheet'!$B$70,", ",REPT(" ",LEN('Analysis Sheet'!$B$70))),((COLUMNS('Analysis Sheet'!$B$70:$B$70)-(OFFSET('Values Table'!X2,0,0)))*LEN('Analysis Sheet'!$B$70))+1,LEN('Analysis Sheet'!$B$70))))</f>
        <v/>
      </c>
      <c r="M70" s="49" t="str">
        <f ca="1">IF(NOT(ISBLANK($B$70)),TRIM(MID(SUBSTITUTE('Analysis Sheet'!$B$70,", ",REPT(" ",LEN('Analysis Sheet'!$B$70))),((COLUMNS('Analysis Sheet'!$B$70:$B$70)-(OFFSET('Values Table'!Y2,0,0)))*LEN('Analysis Sheet'!$B$70))+1,LEN('Analysis Sheet'!$B$70))))</f>
        <v/>
      </c>
      <c r="N70" s="49" t="str">
        <f ca="1">IF(NOT(ISBLANK($B$70)),TRIM(MID(SUBSTITUTE('Analysis Sheet'!$B$70,", ",REPT(" ",LEN('Analysis Sheet'!$B$70))),((COLUMNS('Analysis Sheet'!$B$70:$B$70)-(OFFSET('Values Table'!Z2,0,0)))*LEN('Analysis Sheet'!$B$70))+1,LEN('Analysis Sheet'!$B$70))))</f>
        <v/>
      </c>
      <c r="O70" s="49" t="str">
        <f ca="1">IF(NOT(ISBLANK($B$70)),TRIM(MID(SUBSTITUTE('Analysis Sheet'!$B$70,", ",REPT(" ",LEN('Analysis Sheet'!$B$70))),((COLUMNS('Analysis Sheet'!$B$70:$B$70)-(OFFSET('Values Table'!AA2,0,0)))*LEN('Analysis Sheet'!$B$70))+1,LEN('Analysis Sheet'!$B$70))))</f>
        <v/>
      </c>
      <c r="P70" s="49" t="str">
        <f ca="1">IF(NOT(ISBLANK($B$70)),TRIM(MID(SUBSTITUTE('Analysis Sheet'!$B$70,", ",REPT(" ",LEN('Analysis Sheet'!$B$70))),((COLUMNS('Analysis Sheet'!$B$70:$B$70)-(OFFSET('Values Table'!AB2,0,0)))*LEN('Analysis Sheet'!$B$70))+1,LEN('Analysis Sheet'!$B$70))))</f>
        <v/>
      </c>
      <c r="Q70" s="49" t="str">
        <f ca="1">IF(NOT(ISBLANK($B$70)),TRIM(MID(SUBSTITUTE('Analysis Sheet'!$B$70,", ",REPT(" ",LEN('Analysis Sheet'!$B$70))),((COLUMNS('Analysis Sheet'!$B$70:$B$70)-(OFFSET('Values Table'!AC2,0,0)))*LEN('Analysis Sheet'!$B$70))+1,LEN('Analysis Sheet'!$B$70))))</f>
        <v/>
      </c>
      <c r="R70" s="49" t="str">
        <f ca="1">IF(NOT(ISBLANK($B$70)),TRIM(MID(SUBSTITUTE('Analysis Sheet'!$B$70,", ",REPT(" ",LEN('Analysis Sheet'!$B$70))),((COLUMNS('Analysis Sheet'!$B$70:$B$70)-(OFFSET('Values Table'!AD2,0,0)))*LEN('Analysis Sheet'!$B$70))+1,LEN('Analysis Sheet'!$B$70))))</f>
        <v/>
      </c>
      <c r="S70" s="49" t="str">
        <f ca="1">IF(NOT(ISBLANK($B$70)),TRIM(MID(SUBSTITUTE('Analysis Sheet'!$B$70,", ",REPT(" ",LEN('Analysis Sheet'!$B$70))),((COLUMNS('Analysis Sheet'!$B$70:$B$70)-(OFFSET('Values Table'!AE2,0,0)))*LEN('Analysis Sheet'!$B$70))+1,LEN('Analysis Sheet'!$B$70))))</f>
        <v/>
      </c>
      <c r="T70" s="49" t="str">
        <f ca="1">IF(NOT(ISBLANK($B$70)),TRIM(MID(SUBSTITUTE('Analysis Sheet'!$B$70,", ",REPT(" ",LEN('Analysis Sheet'!$B$70))),((COLUMNS('Analysis Sheet'!$B$70:$B$70)-(OFFSET('Values Table'!AF2,0,0)))*LEN('Analysis Sheet'!$B$70))+1,LEN('Analysis Sheet'!$B$70))))</f>
        <v/>
      </c>
      <c r="U70" s="49" t="str">
        <f ca="1">IF(NOT(ISBLANK($B$70)),TRIM(MID(SUBSTITUTE('Analysis Sheet'!$B$70,", ",REPT(" ",LEN('Analysis Sheet'!$B$70))),((COLUMNS('Analysis Sheet'!$B$70:$B$70)-(OFFSET('Values Table'!AG2,0,0)))*LEN('Analysis Sheet'!$B$70))+1,LEN('Analysis Sheet'!$B$70))))</f>
        <v/>
      </c>
      <c r="V70" s="49" t="str">
        <f ca="1">IF(NOT(ISBLANK($B$70)),TRIM(MID(SUBSTITUTE('Analysis Sheet'!$B$70,", ",REPT(" ",LEN('Analysis Sheet'!$B$70))),((COLUMNS('Analysis Sheet'!$B$70:$B$70)-(OFFSET('Values Table'!AH2,0,0)))*LEN('Analysis Sheet'!$B$70))+1,LEN('Analysis Sheet'!$B$70))))</f>
        <v/>
      </c>
      <c r="W70" s="41"/>
      <c r="X70" s="20" t="str">
        <f ca="1">UNIQUE($C$64:$V$85, 7)</f>
        <v/>
      </c>
      <c r="Y70" s="3" t="str">
        <f ca="1">IFERROR(VLOOKUP('Analysis Sheet'!X70,'Values Table'!$A$2:$B$42,2,FALSE), "0")</f>
        <v>0</v>
      </c>
    </row>
    <row r="71" spans="1:25" s="3" customFormat="1" ht="15" customHeight="1" x14ac:dyDescent="0.3">
      <c r="A71" s="3" t="str">
        <f>UStrip('User Ranking Form'!A73)</f>
        <v/>
      </c>
      <c r="B71" s="19" t="str">
        <f>IFERROR(MatchWords('Analysis Sheet'!A71, 'Values Table'!$A$2:$B$42)," ")</f>
        <v xml:space="preserve"> </v>
      </c>
      <c r="C71" s="49" t="str">
        <f ca="1">IF(NOT(ISBLANK($B$71)),TRIM(MID(SUBSTITUTE('Analysis Sheet'!$B$71,", ",REPT(" ",LEN('Analysis Sheet'!$B$71))),((COLUMNS('Analysis Sheet'!$B$71:$B$71)-(OFFSET('Values Table'!O2,0,0)))*LEN('Analysis Sheet'!$B$71))+1,LEN('Analysis Sheet'!$B$71))))</f>
        <v/>
      </c>
      <c r="D71" s="49" t="str">
        <f ca="1">IF(NOT(ISBLANK($B$71)),TRIM(MID(SUBSTITUTE('Analysis Sheet'!$B$71,", ",REPT(" ",LEN('Analysis Sheet'!$B$71))),((COLUMNS('Analysis Sheet'!$B$71:$B$71)-(OFFSET('Values Table'!P2,0,0)))*LEN('Analysis Sheet'!$B$71))+1,LEN('Analysis Sheet'!$B$71))))</f>
        <v/>
      </c>
      <c r="E71" s="49" t="str">
        <f ca="1">IF(NOT(ISBLANK($B$71)),TRIM(MID(SUBSTITUTE('Analysis Sheet'!$B$71,", ",REPT(" ",LEN('Analysis Sheet'!$B$71))),((COLUMNS('Analysis Sheet'!$B$71:$B$71)-(OFFSET('Values Table'!Q2,0,0)))*LEN('Analysis Sheet'!$B$71))+1,LEN('Analysis Sheet'!$B$71))))</f>
        <v/>
      </c>
      <c r="F71" s="49" t="str">
        <f ca="1">IF(NOT(ISBLANK($B$71)),TRIM(MID(SUBSTITUTE('Analysis Sheet'!$B$71,", ",REPT(" ",LEN('Analysis Sheet'!$B$71))),((COLUMNS('Analysis Sheet'!$B$71:$B$71)-(OFFSET('Values Table'!R2,0,0)))*LEN('Analysis Sheet'!$B$71))+1,LEN('Analysis Sheet'!$B$71))))</f>
        <v/>
      </c>
      <c r="G71" s="49" t="str">
        <f ca="1">IF(NOT(ISBLANK($B$71)),TRIM(MID(SUBSTITUTE('Analysis Sheet'!$B$71,", ",REPT(" ",LEN('Analysis Sheet'!$B$71))),((COLUMNS('Analysis Sheet'!$B$71:$B$71)-(OFFSET('Values Table'!S2,0,0)))*LEN('Analysis Sheet'!$B$71))+1,LEN('Analysis Sheet'!$B$71))))</f>
        <v/>
      </c>
      <c r="H71" s="49" t="str">
        <f ca="1">IF(NOT(ISBLANK($B$71)),TRIM(MID(SUBSTITUTE('Analysis Sheet'!$B$71,", ",REPT(" ",LEN('Analysis Sheet'!$B$71))),((COLUMNS('Analysis Sheet'!$B$71:$B$71)-(OFFSET('Values Table'!T2,0,0)))*LEN('Analysis Sheet'!$B$71))+1,LEN('Analysis Sheet'!$B$71))))</f>
        <v/>
      </c>
      <c r="I71" s="49" t="str">
        <f ca="1">IF(NOT(ISBLANK($B$71)),TRIM(MID(SUBSTITUTE('Analysis Sheet'!$B$71,", ",REPT(" ",LEN('Analysis Sheet'!$B$71))),((COLUMNS('Analysis Sheet'!$B$71:$B$71)-(OFFSET('Values Table'!U2,0,0)))*LEN('Analysis Sheet'!$B$71))+1,LEN('Analysis Sheet'!$B$71))))</f>
        <v/>
      </c>
      <c r="J71" s="49" t="str">
        <f ca="1">IF(NOT(ISBLANK($B$71)),TRIM(MID(SUBSTITUTE('Analysis Sheet'!$B$71,", ",REPT(" ",LEN('Analysis Sheet'!$B$71))),((COLUMNS('Analysis Sheet'!$B$71:$B$71)-(OFFSET('Values Table'!V2,0,0)))*LEN('Analysis Sheet'!$B$71))+1,LEN('Analysis Sheet'!$B$71))))</f>
        <v/>
      </c>
      <c r="K71" s="49" t="str">
        <f ca="1">IF(NOT(ISBLANK($B$71)),TRIM(MID(SUBSTITUTE('Analysis Sheet'!$B$71,", ",REPT(" ",LEN('Analysis Sheet'!$B$71))),((COLUMNS('Analysis Sheet'!$B$71:$B$71)-(OFFSET('Values Table'!W2,0,0)))*LEN('Analysis Sheet'!$B$71))+1,LEN('Analysis Sheet'!$B$71))))</f>
        <v/>
      </c>
      <c r="L71" s="49" t="str">
        <f ca="1">IF(NOT(ISBLANK($B$71)),TRIM(MID(SUBSTITUTE('Analysis Sheet'!$B$71,", ",REPT(" ",LEN('Analysis Sheet'!$B$71))),((COLUMNS('Analysis Sheet'!$B$71:$B$71)-(OFFSET('Values Table'!X2,0,0)))*LEN('Analysis Sheet'!$B$71))+1,LEN('Analysis Sheet'!$B$71))))</f>
        <v/>
      </c>
      <c r="M71" s="49" t="str">
        <f ca="1">IF(NOT(ISBLANK($B$71)),TRIM(MID(SUBSTITUTE('Analysis Sheet'!$B$71,", ",REPT(" ",LEN('Analysis Sheet'!$B$71))),((COLUMNS('Analysis Sheet'!$B$71:$B$71)-(OFFSET('Values Table'!Y2,0,0)))*LEN('Analysis Sheet'!$B$71))+1,LEN('Analysis Sheet'!$B$71))))</f>
        <v/>
      </c>
      <c r="N71" s="49" t="str">
        <f ca="1">IF(NOT(ISBLANK($B$71)),TRIM(MID(SUBSTITUTE('Analysis Sheet'!$B$71,", ",REPT(" ",LEN('Analysis Sheet'!$B$71))),((COLUMNS('Analysis Sheet'!$B$71:$B$71)-(OFFSET('Values Table'!Z2,0,0)))*LEN('Analysis Sheet'!$B$71))+1,LEN('Analysis Sheet'!$B$71))))</f>
        <v/>
      </c>
      <c r="O71" s="49" t="str">
        <f ca="1">IF(NOT(ISBLANK($B$71)),TRIM(MID(SUBSTITUTE('Analysis Sheet'!$B$71,", ",REPT(" ",LEN('Analysis Sheet'!$B$71))),((COLUMNS('Analysis Sheet'!$B$71:$B$71)-(OFFSET('Values Table'!AA2,0,0)))*LEN('Analysis Sheet'!$B$71))+1,LEN('Analysis Sheet'!$B$71))))</f>
        <v/>
      </c>
      <c r="P71" s="49" t="str">
        <f ca="1">IF(NOT(ISBLANK($B$71)),TRIM(MID(SUBSTITUTE('Analysis Sheet'!$B$71,", ",REPT(" ",LEN('Analysis Sheet'!$B$71))),((COLUMNS('Analysis Sheet'!$B$71:$B$71)-(OFFSET('Values Table'!AB2,0,0)))*LEN('Analysis Sheet'!$B$71))+1,LEN('Analysis Sheet'!$B$71))))</f>
        <v/>
      </c>
      <c r="Q71" s="49" t="str">
        <f ca="1">IF(NOT(ISBLANK($B$71)),TRIM(MID(SUBSTITUTE('Analysis Sheet'!$B$71,", ",REPT(" ",LEN('Analysis Sheet'!$B$71))),((COLUMNS('Analysis Sheet'!$B$71:$B$71)-(OFFSET('Values Table'!AC2,0,0)))*LEN('Analysis Sheet'!$B$71))+1,LEN('Analysis Sheet'!$B$71))))</f>
        <v/>
      </c>
      <c r="R71" s="49" t="str">
        <f ca="1">IF(NOT(ISBLANK($B$71)),TRIM(MID(SUBSTITUTE('Analysis Sheet'!$B$71,", ",REPT(" ",LEN('Analysis Sheet'!$B$71))),((COLUMNS('Analysis Sheet'!$B$71:$B$71)-(OFFSET('Values Table'!AD2,0,0)))*LEN('Analysis Sheet'!$B$71))+1,LEN('Analysis Sheet'!$B$71))))</f>
        <v/>
      </c>
      <c r="S71" s="49" t="str">
        <f ca="1">IF(NOT(ISBLANK($B$71)),TRIM(MID(SUBSTITUTE('Analysis Sheet'!$B$71,", ",REPT(" ",LEN('Analysis Sheet'!$B$71))),((COLUMNS('Analysis Sheet'!$B$71:$B$71)-(OFFSET('Values Table'!AE2,0,0)))*LEN('Analysis Sheet'!$B$71))+1,LEN('Analysis Sheet'!$B$71))))</f>
        <v/>
      </c>
      <c r="T71" s="49" t="str">
        <f ca="1">IF(NOT(ISBLANK($B$71)),TRIM(MID(SUBSTITUTE('Analysis Sheet'!$B$71,", ",REPT(" ",LEN('Analysis Sheet'!$B$71))),((COLUMNS('Analysis Sheet'!$B$71:$B$71)-(OFFSET('Values Table'!AF2,0,0)))*LEN('Analysis Sheet'!$B$71))+1,LEN('Analysis Sheet'!$B$71))))</f>
        <v/>
      </c>
      <c r="U71" s="49" t="str">
        <f ca="1">IF(NOT(ISBLANK($B$71)),TRIM(MID(SUBSTITUTE('Analysis Sheet'!$B$71,", ",REPT(" ",LEN('Analysis Sheet'!$B$71))),((COLUMNS('Analysis Sheet'!$B$71:$B$71)-(OFFSET('Values Table'!AG2,0,0)))*LEN('Analysis Sheet'!$B$71))+1,LEN('Analysis Sheet'!$B$71))))</f>
        <v/>
      </c>
      <c r="V71" s="49" t="str">
        <f ca="1">IF(NOT(ISBLANK($B$71)),TRIM(MID(SUBSTITUTE('Analysis Sheet'!$B$71,", ",REPT(" ",LEN('Analysis Sheet'!$B$71))),((COLUMNS('Analysis Sheet'!$B$71:$B$71)-(OFFSET('Values Table'!AH2,0,0)))*LEN('Analysis Sheet'!$B$71))+1,LEN('Analysis Sheet'!$B$71))))</f>
        <v/>
      </c>
      <c r="W71" s="41"/>
      <c r="X71" s="20" t="str">
        <f ca="1">UNIQUE($C$64:$V$85, 8)</f>
        <v/>
      </c>
      <c r="Y71" s="3" t="str">
        <f ca="1">IFERROR(VLOOKUP('Analysis Sheet'!X71,'Values Table'!$A$2:$B$42,2,FALSE), "0")</f>
        <v>0</v>
      </c>
    </row>
    <row r="72" spans="1:25" s="3" customFormat="1" ht="15" customHeight="1" x14ac:dyDescent="0.3">
      <c r="A72" s="3" t="str">
        <f>UStrip('User Ranking Form'!A74)</f>
        <v/>
      </c>
      <c r="B72" s="19" t="str">
        <f>IFERROR(MatchWords('Analysis Sheet'!A72, 'Values Table'!$A$2:$B$42)," ")</f>
        <v xml:space="preserve"> </v>
      </c>
      <c r="C72" s="49" t="str">
        <f ca="1">IF(NOT(ISBLANK($B$72)),TRIM(MID(SUBSTITUTE('Analysis Sheet'!$B$72,", ",REPT(" ",LEN('Analysis Sheet'!$B$72))),((COLUMNS('Analysis Sheet'!$B$72:$B$72)-(OFFSET('Values Table'!O2,0,0)))*LEN('Analysis Sheet'!$B$72))+1,LEN('Analysis Sheet'!$B$72))))</f>
        <v/>
      </c>
      <c r="D72" s="49" t="str">
        <f ca="1">IF(NOT(ISBLANK($B$72)),TRIM(MID(SUBSTITUTE('Analysis Sheet'!$B$72,", ",REPT(" ",LEN('Analysis Sheet'!$B$72))),((COLUMNS('Analysis Sheet'!$B$72:$B$72)-(OFFSET('Values Table'!P2,0,0)))*LEN('Analysis Sheet'!$B$72))+1,LEN('Analysis Sheet'!$B$72))))</f>
        <v/>
      </c>
      <c r="E72" s="49" t="str">
        <f ca="1">IF(NOT(ISBLANK($B$72)),TRIM(MID(SUBSTITUTE('Analysis Sheet'!$B$72,", ",REPT(" ",LEN('Analysis Sheet'!$B$72))),((COLUMNS('Analysis Sheet'!$B$72:$B$72)-(OFFSET('Values Table'!Q2,0,0)))*LEN('Analysis Sheet'!$B$72))+1,LEN('Analysis Sheet'!$B$72))))</f>
        <v/>
      </c>
      <c r="F72" s="49" t="str">
        <f ca="1">IF(NOT(ISBLANK($B$72)),TRIM(MID(SUBSTITUTE('Analysis Sheet'!$B$72,", ",REPT(" ",LEN('Analysis Sheet'!$B$72))),((COLUMNS('Analysis Sheet'!$B$72:$B$72)-(OFFSET('Values Table'!R2,0,0)))*LEN('Analysis Sheet'!$B$72))+1,LEN('Analysis Sheet'!$B$72))))</f>
        <v/>
      </c>
      <c r="G72" s="49" t="str">
        <f ca="1">IF(NOT(ISBLANK($B$72)),TRIM(MID(SUBSTITUTE('Analysis Sheet'!$B$72,", ",REPT(" ",LEN('Analysis Sheet'!$B$72))),((COLUMNS('Analysis Sheet'!$B$72:$B$72)-(OFFSET('Values Table'!S2,0,0)))*LEN('Analysis Sheet'!$B$72))+1,LEN('Analysis Sheet'!$B$72))))</f>
        <v/>
      </c>
      <c r="H72" s="49" t="str">
        <f ca="1">IF(NOT(ISBLANK($B$72)),TRIM(MID(SUBSTITUTE('Analysis Sheet'!$B$72,", ",REPT(" ",LEN('Analysis Sheet'!$B$72))),((COLUMNS('Analysis Sheet'!$B$72:$B$72)-(OFFSET('Values Table'!T2,0,0)))*LEN('Analysis Sheet'!$B$72))+1,LEN('Analysis Sheet'!$B$72))))</f>
        <v/>
      </c>
      <c r="I72" s="49" t="str">
        <f ca="1">IF(NOT(ISBLANK($B$72)),TRIM(MID(SUBSTITUTE('Analysis Sheet'!$B$72,", ",REPT(" ",LEN('Analysis Sheet'!$B$72))),((COLUMNS('Analysis Sheet'!$B$72:$B$72)-(OFFSET('Values Table'!U2,0,0)))*LEN('Analysis Sheet'!$B$72))+1,LEN('Analysis Sheet'!$B$72))))</f>
        <v/>
      </c>
      <c r="J72" s="49" t="str">
        <f ca="1">IF(NOT(ISBLANK($B$72)),TRIM(MID(SUBSTITUTE('Analysis Sheet'!$B$72,", ",REPT(" ",LEN('Analysis Sheet'!$B$72))),((COLUMNS('Analysis Sheet'!$B$72:$B$72)-(OFFSET('Values Table'!V2,0,0)))*LEN('Analysis Sheet'!$B$72))+1,LEN('Analysis Sheet'!$B$72))))</f>
        <v/>
      </c>
      <c r="K72" s="49" t="str">
        <f ca="1">IF(NOT(ISBLANK($B$72)),TRIM(MID(SUBSTITUTE('Analysis Sheet'!$B$72,", ",REPT(" ",LEN('Analysis Sheet'!$B$72))),((COLUMNS('Analysis Sheet'!$B$72:$B$72)-(OFFSET('Values Table'!W2,0,0)))*LEN('Analysis Sheet'!$B$72))+1,LEN('Analysis Sheet'!$B$72))))</f>
        <v/>
      </c>
      <c r="L72" s="49" t="str">
        <f ca="1">IF(NOT(ISBLANK($B$72)),TRIM(MID(SUBSTITUTE('Analysis Sheet'!$B$72,", ",REPT(" ",LEN('Analysis Sheet'!$B$72))),((COLUMNS('Analysis Sheet'!$B$72:$B$72)-(OFFSET('Values Table'!X2,0,0)))*LEN('Analysis Sheet'!$B$72))+1,LEN('Analysis Sheet'!$B$72))))</f>
        <v/>
      </c>
      <c r="M72" s="49" t="str">
        <f ca="1">IF(NOT(ISBLANK($B$72)),TRIM(MID(SUBSTITUTE('Analysis Sheet'!$B$72,", ",REPT(" ",LEN('Analysis Sheet'!$B$72))),((COLUMNS('Analysis Sheet'!$B$72:$B$72)-(OFFSET('Values Table'!Y2,0,0)))*LEN('Analysis Sheet'!$B$72))+1,LEN('Analysis Sheet'!$B$72))))</f>
        <v/>
      </c>
      <c r="N72" s="49" t="str">
        <f ca="1">IF(NOT(ISBLANK($B$72)),TRIM(MID(SUBSTITUTE('Analysis Sheet'!$B$72,", ",REPT(" ",LEN('Analysis Sheet'!$B$72))),((COLUMNS('Analysis Sheet'!$B$72:$B$72)-(OFFSET('Values Table'!Z2,0,0)))*LEN('Analysis Sheet'!$B$72))+1,LEN('Analysis Sheet'!$B$72))))</f>
        <v/>
      </c>
      <c r="O72" s="49" t="str">
        <f ca="1">IF(NOT(ISBLANK($B$72)),TRIM(MID(SUBSTITUTE('Analysis Sheet'!$B$72,", ",REPT(" ",LEN('Analysis Sheet'!$B$72))),((COLUMNS('Analysis Sheet'!$B$72:$B$72)-(OFFSET('Values Table'!AA2,0,0)))*LEN('Analysis Sheet'!$B$72))+1,LEN('Analysis Sheet'!$B$72))))</f>
        <v/>
      </c>
      <c r="P72" s="49" t="str">
        <f ca="1">IF(NOT(ISBLANK($B$72)),TRIM(MID(SUBSTITUTE('Analysis Sheet'!$B$72,", ",REPT(" ",LEN('Analysis Sheet'!$B$72))),((COLUMNS('Analysis Sheet'!$B$72:$B$72)-(OFFSET('Values Table'!AB2,0,0)))*LEN('Analysis Sheet'!$B$72))+1,LEN('Analysis Sheet'!$B$72))))</f>
        <v/>
      </c>
      <c r="Q72" s="49" t="str">
        <f ca="1">IF(NOT(ISBLANK($B$72)),TRIM(MID(SUBSTITUTE('Analysis Sheet'!$B$72,", ",REPT(" ",LEN('Analysis Sheet'!$B$72))),((COLUMNS('Analysis Sheet'!$B$72:$B$72)-(OFFSET('Values Table'!AC2,0,0)))*LEN('Analysis Sheet'!$B$72))+1,LEN('Analysis Sheet'!$B$72))))</f>
        <v/>
      </c>
      <c r="R72" s="49" t="str">
        <f ca="1">IF(NOT(ISBLANK($B$72)),TRIM(MID(SUBSTITUTE('Analysis Sheet'!$B$72,", ",REPT(" ",LEN('Analysis Sheet'!$B$72))),((COLUMNS('Analysis Sheet'!$B$72:$B$72)-(OFFSET('Values Table'!AD2,0,0)))*LEN('Analysis Sheet'!$B$72))+1,LEN('Analysis Sheet'!$B$72))))</f>
        <v/>
      </c>
      <c r="S72" s="49" t="str">
        <f ca="1">IF(NOT(ISBLANK($B$72)),TRIM(MID(SUBSTITUTE('Analysis Sheet'!$B$72,", ",REPT(" ",LEN('Analysis Sheet'!$B$72))),((COLUMNS('Analysis Sheet'!$B$72:$B$72)-(OFFSET('Values Table'!AE2,0,0)))*LEN('Analysis Sheet'!$B$72))+1,LEN('Analysis Sheet'!$B$72))))</f>
        <v/>
      </c>
      <c r="T72" s="49" t="str">
        <f ca="1">IF(NOT(ISBLANK($B$72)),TRIM(MID(SUBSTITUTE('Analysis Sheet'!$B$72,", ",REPT(" ",LEN('Analysis Sheet'!$B$72))),((COLUMNS('Analysis Sheet'!$B$72:$B$72)-(OFFSET('Values Table'!AF2,0,0)))*LEN('Analysis Sheet'!$B$72))+1,LEN('Analysis Sheet'!$B$72))))</f>
        <v/>
      </c>
      <c r="U72" s="49" t="str">
        <f ca="1">IF(NOT(ISBLANK($B$72)),TRIM(MID(SUBSTITUTE('Analysis Sheet'!$B$72,", ",REPT(" ",LEN('Analysis Sheet'!$B$72))),((COLUMNS('Analysis Sheet'!$B$72:$B$72)-(OFFSET('Values Table'!AG2,0,0)))*LEN('Analysis Sheet'!$B$72))+1,LEN('Analysis Sheet'!$B$72))))</f>
        <v/>
      </c>
      <c r="V72" s="49" t="str">
        <f ca="1">IF(NOT(ISBLANK($B$72)),TRIM(MID(SUBSTITUTE('Analysis Sheet'!$B$72,", ",REPT(" ",LEN('Analysis Sheet'!$B$72))),((COLUMNS('Analysis Sheet'!$B$72:$B$72)-(OFFSET('Values Table'!AH2,0,0)))*LEN('Analysis Sheet'!$B$72))+1,LEN('Analysis Sheet'!$B$72))))</f>
        <v/>
      </c>
      <c r="W72" s="41"/>
      <c r="X72" s="20" t="str">
        <f ca="1">UNIQUE($C$64:$V$85, 9)</f>
        <v/>
      </c>
      <c r="Y72" s="3" t="str">
        <f ca="1">IFERROR(VLOOKUP('Analysis Sheet'!X72,'Values Table'!$A$2:$B$42,2,FALSE), "0")</f>
        <v>0</v>
      </c>
    </row>
    <row r="73" spans="1:25" s="3" customFormat="1" ht="15" customHeight="1" x14ac:dyDescent="0.3">
      <c r="A73" s="3" t="str">
        <f>UStrip('User Ranking Form'!A75)</f>
        <v/>
      </c>
      <c r="B73" s="19" t="str">
        <f>IFERROR(MatchWords('Analysis Sheet'!A73, 'Values Table'!$A$2:$B$42)," ")</f>
        <v xml:space="preserve"> </v>
      </c>
      <c r="C73" s="49" t="str">
        <f ca="1">IF(NOT(ISBLANK($B$73)),TRIM(MID(SUBSTITUTE('Analysis Sheet'!$B$73,", ",REPT(" ",LEN('Analysis Sheet'!$B$73))),((COLUMNS('Analysis Sheet'!$B$73:$B$73)-(OFFSET('Values Table'!O2,0,0)))*LEN('Analysis Sheet'!$B$73))+1,LEN('Analysis Sheet'!$B$73))))</f>
        <v/>
      </c>
      <c r="D73" s="49" t="str">
        <f ca="1">IF(NOT(ISBLANK($B$73)),TRIM(MID(SUBSTITUTE('Analysis Sheet'!$B$73,", ",REPT(" ",LEN('Analysis Sheet'!$B$73))),((COLUMNS('Analysis Sheet'!$B$73:$B$73)-(OFFSET('Values Table'!P2,0,0)))*LEN('Analysis Sheet'!$B$73))+1,LEN('Analysis Sheet'!$B$73))))</f>
        <v/>
      </c>
      <c r="E73" s="49" t="str">
        <f ca="1">IF(NOT(ISBLANK($B$73)),TRIM(MID(SUBSTITUTE('Analysis Sheet'!$B$73,", ",REPT(" ",LEN('Analysis Sheet'!$B$73))),((COLUMNS('Analysis Sheet'!$B$73:$B$73)-(OFFSET('Values Table'!Q2,0,0)))*LEN('Analysis Sheet'!$B$73))+1,LEN('Analysis Sheet'!$B$73))))</f>
        <v/>
      </c>
      <c r="F73" s="49" t="str">
        <f ca="1">IF(NOT(ISBLANK($B$73)),TRIM(MID(SUBSTITUTE('Analysis Sheet'!$B$73,", ",REPT(" ",LEN('Analysis Sheet'!$B$73))),((COLUMNS('Analysis Sheet'!$B$73:$B$73)-(OFFSET('Values Table'!R2,0,0)))*LEN('Analysis Sheet'!$B$73))+1,LEN('Analysis Sheet'!$B$73))))</f>
        <v/>
      </c>
      <c r="G73" s="49" t="str">
        <f ca="1">IF(NOT(ISBLANK($B$73)),TRIM(MID(SUBSTITUTE('Analysis Sheet'!$B$73,", ",REPT(" ",LEN('Analysis Sheet'!$B$73))),((COLUMNS('Analysis Sheet'!$B$73:$B$73)-(OFFSET('Values Table'!S2,0,0)))*LEN('Analysis Sheet'!$B$73))+1,LEN('Analysis Sheet'!$B$73))))</f>
        <v/>
      </c>
      <c r="H73" s="49" t="str">
        <f ca="1">IF(NOT(ISBLANK($B$73)),TRIM(MID(SUBSTITUTE('Analysis Sheet'!$B$73,", ",REPT(" ",LEN('Analysis Sheet'!$B$73))),((COLUMNS('Analysis Sheet'!$B$73:$B$73)-(OFFSET('Values Table'!T2,0,0)))*LEN('Analysis Sheet'!$B$73))+1,LEN('Analysis Sheet'!$B$73))))</f>
        <v/>
      </c>
      <c r="I73" s="49" t="str">
        <f ca="1">IF(NOT(ISBLANK($B$73)),TRIM(MID(SUBSTITUTE('Analysis Sheet'!$B$73,", ",REPT(" ",LEN('Analysis Sheet'!$B$73))),((COLUMNS('Analysis Sheet'!$B$73:$B$73)-(OFFSET('Values Table'!U2,0,0)))*LEN('Analysis Sheet'!$B$73))+1,LEN('Analysis Sheet'!$B$73))))</f>
        <v/>
      </c>
      <c r="J73" s="49" t="str">
        <f ca="1">IF(NOT(ISBLANK($B$73)),TRIM(MID(SUBSTITUTE('Analysis Sheet'!$B$73,", ",REPT(" ",LEN('Analysis Sheet'!$B$73))),((COLUMNS('Analysis Sheet'!$B$73:$B$73)-(OFFSET('Values Table'!V2,0,0)))*LEN('Analysis Sheet'!$B$73))+1,LEN('Analysis Sheet'!$B$73))))</f>
        <v/>
      </c>
      <c r="K73" s="49" t="str">
        <f ca="1">IF(NOT(ISBLANK($B$73)),TRIM(MID(SUBSTITUTE('Analysis Sheet'!$B$73,", ",REPT(" ",LEN('Analysis Sheet'!$B$73))),((COLUMNS('Analysis Sheet'!$B$73:$B$73)-(OFFSET('Values Table'!W2,0,0)))*LEN('Analysis Sheet'!$B$73))+1,LEN('Analysis Sheet'!$B$73))))</f>
        <v/>
      </c>
      <c r="L73" s="49" t="str">
        <f ca="1">IF(NOT(ISBLANK($B$73)),TRIM(MID(SUBSTITUTE('Analysis Sheet'!$B$73,", ",REPT(" ",LEN('Analysis Sheet'!$B$73))),((COLUMNS('Analysis Sheet'!$B$73:$B$73)-(OFFSET('Values Table'!X2,0,0)))*LEN('Analysis Sheet'!$B$73))+1,LEN('Analysis Sheet'!$B$73))))</f>
        <v/>
      </c>
      <c r="M73" s="49" t="str">
        <f ca="1">IF(NOT(ISBLANK($B$73)),TRIM(MID(SUBSTITUTE('Analysis Sheet'!$B$73,", ",REPT(" ",LEN('Analysis Sheet'!$B$73))),((COLUMNS('Analysis Sheet'!$B$73:$B$73)-(OFFSET('Values Table'!Y2,0,0)))*LEN('Analysis Sheet'!$B$73))+1,LEN('Analysis Sheet'!$B$73))))</f>
        <v/>
      </c>
      <c r="N73" s="49" t="str">
        <f ca="1">IF(NOT(ISBLANK($B$73)),TRIM(MID(SUBSTITUTE('Analysis Sheet'!$B$73,", ",REPT(" ",LEN('Analysis Sheet'!$B$73))),((COLUMNS('Analysis Sheet'!$B$73:$B$73)-(OFFSET('Values Table'!Z2,0,0)))*LEN('Analysis Sheet'!$B$73))+1,LEN('Analysis Sheet'!$B$73))))</f>
        <v/>
      </c>
      <c r="O73" s="49" t="str">
        <f ca="1">IF(NOT(ISBLANK($B$73)),TRIM(MID(SUBSTITUTE('Analysis Sheet'!$B$73,", ",REPT(" ",LEN('Analysis Sheet'!$B$73))),((COLUMNS('Analysis Sheet'!$B$73:$B$73)-(OFFSET('Values Table'!AA2,0,0)))*LEN('Analysis Sheet'!$B$73))+1,LEN('Analysis Sheet'!$B$73))))</f>
        <v/>
      </c>
      <c r="P73" s="49" t="str">
        <f ca="1">IF(NOT(ISBLANK($B$73)),TRIM(MID(SUBSTITUTE('Analysis Sheet'!$B$73,", ",REPT(" ",LEN('Analysis Sheet'!$B$73))),((COLUMNS('Analysis Sheet'!$B$73:$B$73)-(OFFSET('Values Table'!AB2,0,0)))*LEN('Analysis Sheet'!$B$73))+1,LEN('Analysis Sheet'!$B$73))))</f>
        <v/>
      </c>
      <c r="Q73" s="49" t="str">
        <f ca="1">IF(NOT(ISBLANK($B$73)),TRIM(MID(SUBSTITUTE('Analysis Sheet'!$B$73,", ",REPT(" ",LEN('Analysis Sheet'!$B$73))),((COLUMNS('Analysis Sheet'!$B$73:$B$73)-(OFFSET('Values Table'!AC2,0,0)))*LEN('Analysis Sheet'!$B$73))+1,LEN('Analysis Sheet'!$B$73))))</f>
        <v/>
      </c>
      <c r="R73" s="49" t="str">
        <f ca="1">IF(NOT(ISBLANK($B$73)),TRIM(MID(SUBSTITUTE('Analysis Sheet'!$B$73,", ",REPT(" ",LEN('Analysis Sheet'!$B$73))),((COLUMNS('Analysis Sheet'!$B$73:$B$73)-(OFFSET('Values Table'!AD2,0,0)))*LEN('Analysis Sheet'!$B$73))+1,LEN('Analysis Sheet'!$B$73))))</f>
        <v/>
      </c>
      <c r="S73" s="49" t="str">
        <f ca="1">IF(NOT(ISBLANK($B$73)),TRIM(MID(SUBSTITUTE('Analysis Sheet'!$B$73,", ",REPT(" ",LEN('Analysis Sheet'!$B$73))),((COLUMNS('Analysis Sheet'!$B$73:$B$73)-(OFFSET('Values Table'!AE2,0,0)))*LEN('Analysis Sheet'!$B$73))+1,LEN('Analysis Sheet'!$B$73))))</f>
        <v/>
      </c>
      <c r="T73" s="49" t="str">
        <f ca="1">IF(NOT(ISBLANK($B$73)),TRIM(MID(SUBSTITUTE('Analysis Sheet'!$B$73,", ",REPT(" ",LEN('Analysis Sheet'!$B$73))),((COLUMNS('Analysis Sheet'!$B$73:$B$73)-(OFFSET('Values Table'!AF2,0,0)))*LEN('Analysis Sheet'!$B$73))+1,LEN('Analysis Sheet'!$B$73))))</f>
        <v/>
      </c>
      <c r="U73" s="49" t="str">
        <f ca="1">IF(NOT(ISBLANK($B$73)),TRIM(MID(SUBSTITUTE('Analysis Sheet'!$B$73,", ",REPT(" ",LEN('Analysis Sheet'!$B$73))),((COLUMNS('Analysis Sheet'!$B$73:$B$73)-(OFFSET('Values Table'!AG2,0,0)))*LEN('Analysis Sheet'!$B$73))+1,LEN('Analysis Sheet'!$B$73))))</f>
        <v/>
      </c>
      <c r="V73" s="49" t="str">
        <f ca="1">IF(NOT(ISBLANK($B$73)),TRIM(MID(SUBSTITUTE('Analysis Sheet'!$B$73,", ",REPT(" ",LEN('Analysis Sheet'!$B$73))),((COLUMNS('Analysis Sheet'!$B$73:$B$73)-(OFFSET('Values Table'!AH2,0,0)))*LEN('Analysis Sheet'!$B$73))+1,LEN('Analysis Sheet'!$B$73))))</f>
        <v/>
      </c>
      <c r="W73" s="41"/>
      <c r="X73" s="20" t="str">
        <f ca="1">UNIQUE($C$64:$V$85, 10)</f>
        <v/>
      </c>
      <c r="Y73" s="3" t="str">
        <f ca="1">IFERROR(VLOOKUP('Analysis Sheet'!X73,'Values Table'!$A$2:$B$42,2,FALSE), "0")</f>
        <v>0</v>
      </c>
    </row>
    <row r="74" spans="1:25" s="3" customFormat="1" ht="15" customHeight="1" x14ac:dyDescent="0.3">
      <c r="A74" s="3" t="str">
        <f>UStrip('User Ranking Form'!A76)</f>
        <v/>
      </c>
      <c r="B74" s="19" t="str">
        <f>IFERROR(MatchWords('Analysis Sheet'!A74, 'Values Table'!$A$2:$B$42)," ")</f>
        <v xml:space="preserve"> </v>
      </c>
      <c r="C74" s="49" t="str">
        <f ca="1">IF(NOT(ISBLANK($B$74)),TRIM(MID(SUBSTITUTE('Analysis Sheet'!$B$74,", ",REPT(" ",LEN('Analysis Sheet'!$B$74))),((COLUMNS('Analysis Sheet'!$B$74:$B$74)-(OFFSET('Values Table'!O2,0,0)))*LEN('Analysis Sheet'!$B$74))+1,LEN('Analysis Sheet'!$B$74))))</f>
        <v/>
      </c>
      <c r="D74" s="49" t="str">
        <f ca="1">IF(NOT(ISBLANK($B$74)),TRIM(MID(SUBSTITUTE('Analysis Sheet'!$B$74,", ",REPT(" ",LEN('Analysis Sheet'!$B$74))),((COLUMNS('Analysis Sheet'!$B$74:$B$74)-(OFFSET('Values Table'!P2,0,0)))*LEN('Analysis Sheet'!$B$74))+1,LEN('Analysis Sheet'!$B$74))))</f>
        <v/>
      </c>
      <c r="E74" s="49" t="str">
        <f ca="1">IF(NOT(ISBLANK($B$74)),TRIM(MID(SUBSTITUTE('Analysis Sheet'!$B$74,", ",REPT(" ",LEN('Analysis Sheet'!$B$74))),((COLUMNS('Analysis Sheet'!$B$74:$B$74)-(OFFSET('Values Table'!Q2,0,0)))*LEN('Analysis Sheet'!$B$74))+1,LEN('Analysis Sheet'!$B$74))))</f>
        <v/>
      </c>
      <c r="F74" s="49" t="str">
        <f ca="1">IF(NOT(ISBLANK($B$74)),TRIM(MID(SUBSTITUTE('Analysis Sheet'!$B$74,", ",REPT(" ",LEN('Analysis Sheet'!$B$74))),((COLUMNS('Analysis Sheet'!$B$74:$B$74)-(OFFSET('Values Table'!R2,0,0)))*LEN('Analysis Sheet'!$B$74))+1,LEN('Analysis Sheet'!$B$74))))</f>
        <v/>
      </c>
      <c r="G74" s="49" t="str">
        <f ca="1">IF(NOT(ISBLANK($B$74)),TRIM(MID(SUBSTITUTE('Analysis Sheet'!$B$74,", ",REPT(" ",LEN('Analysis Sheet'!$B$74))),((COLUMNS('Analysis Sheet'!$B$74:$B$74)-(OFFSET('Values Table'!S2,0,0)))*LEN('Analysis Sheet'!$B$74))+1,LEN('Analysis Sheet'!$B$74))))</f>
        <v/>
      </c>
      <c r="H74" s="49" t="str">
        <f ca="1">IF(NOT(ISBLANK($B$74)),TRIM(MID(SUBSTITUTE('Analysis Sheet'!$B$74,", ",REPT(" ",LEN('Analysis Sheet'!$B$74))),((COLUMNS('Analysis Sheet'!$B$74:$B$74)-(OFFSET('Values Table'!T2,0,0)))*LEN('Analysis Sheet'!$B$74))+1,LEN('Analysis Sheet'!$B$74))))</f>
        <v/>
      </c>
      <c r="I74" s="49" t="str">
        <f ca="1">IF(NOT(ISBLANK($B$74)),TRIM(MID(SUBSTITUTE('Analysis Sheet'!$B$74,", ",REPT(" ",LEN('Analysis Sheet'!$B$74))),((COLUMNS('Analysis Sheet'!$B$74:$B$74)-(OFFSET('Values Table'!U2,0,0)))*LEN('Analysis Sheet'!$B$74))+1,LEN('Analysis Sheet'!$B$74))))</f>
        <v/>
      </c>
      <c r="J74" s="49" t="str">
        <f ca="1">IF(NOT(ISBLANK($B$74)),TRIM(MID(SUBSTITUTE('Analysis Sheet'!$B$74,", ",REPT(" ",LEN('Analysis Sheet'!$B$74))),((COLUMNS('Analysis Sheet'!$B$74:$B$74)-(OFFSET('Values Table'!V2,0,0)))*LEN('Analysis Sheet'!$B$74))+1,LEN('Analysis Sheet'!$B$74))))</f>
        <v/>
      </c>
      <c r="K74" s="49" t="str">
        <f ca="1">IF(NOT(ISBLANK($B$74)),TRIM(MID(SUBSTITUTE('Analysis Sheet'!$B$74,", ",REPT(" ",LEN('Analysis Sheet'!$B$74))),((COLUMNS('Analysis Sheet'!$B$74:$B$74)-(OFFSET('Values Table'!W2,0,0)))*LEN('Analysis Sheet'!$B$74))+1,LEN('Analysis Sheet'!$B$74))))</f>
        <v/>
      </c>
      <c r="L74" s="49" t="str">
        <f ca="1">IF(NOT(ISBLANK($B$74)),TRIM(MID(SUBSTITUTE('Analysis Sheet'!$B$74,", ",REPT(" ",LEN('Analysis Sheet'!$B$74))),((COLUMNS('Analysis Sheet'!$B$74:$B$74)-(OFFSET('Values Table'!X2,0,0)))*LEN('Analysis Sheet'!$B$74))+1,LEN('Analysis Sheet'!$B$74))))</f>
        <v/>
      </c>
      <c r="M74" s="49" t="str">
        <f ca="1">IF(NOT(ISBLANK($B$74)),TRIM(MID(SUBSTITUTE('Analysis Sheet'!$B$74,", ",REPT(" ",LEN('Analysis Sheet'!$B$74))),((COLUMNS('Analysis Sheet'!$B$74:$B$74)-(OFFSET('Values Table'!Y2,0,0)))*LEN('Analysis Sheet'!$B$74))+1,LEN('Analysis Sheet'!$B$74))))</f>
        <v/>
      </c>
      <c r="N74" s="49" t="str">
        <f ca="1">IF(NOT(ISBLANK($B$74)),TRIM(MID(SUBSTITUTE('Analysis Sheet'!$B$74,", ",REPT(" ",LEN('Analysis Sheet'!$B$74))),((COLUMNS('Analysis Sheet'!$B$74:$B$74)-(OFFSET('Values Table'!Z2,0,0)))*LEN('Analysis Sheet'!$B$74))+1,LEN('Analysis Sheet'!$B$74))))</f>
        <v/>
      </c>
      <c r="O74" s="49" t="str">
        <f ca="1">IF(NOT(ISBLANK($B$74)),TRIM(MID(SUBSTITUTE('Analysis Sheet'!$B$74,", ",REPT(" ",LEN('Analysis Sheet'!$B$74))),((COLUMNS('Analysis Sheet'!$B$74:$B$74)-(OFFSET('Values Table'!AA2,0,0)))*LEN('Analysis Sheet'!$B$74))+1,LEN('Analysis Sheet'!$B$74))))</f>
        <v/>
      </c>
      <c r="P74" s="49" t="str">
        <f ca="1">IF(NOT(ISBLANK($B$74)),TRIM(MID(SUBSTITUTE('Analysis Sheet'!$B$74,", ",REPT(" ",LEN('Analysis Sheet'!$B$74))),((COLUMNS('Analysis Sheet'!$B$74:$B$74)-(OFFSET('Values Table'!AB2,0,0)))*LEN('Analysis Sheet'!$B$74))+1,LEN('Analysis Sheet'!$B$74))))</f>
        <v/>
      </c>
      <c r="Q74" s="49" t="str">
        <f ca="1">IF(NOT(ISBLANK($B$74)),TRIM(MID(SUBSTITUTE('Analysis Sheet'!$B$74,", ",REPT(" ",LEN('Analysis Sheet'!$B$74))),((COLUMNS('Analysis Sheet'!$B$74:$B$74)-(OFFSET('Values Table'!AC2,0,0)))*LEN('Analysis Sheet'!$B$74))+1,LEN('Analysis Sheet'!$B$74))))</f>
        <v/>
      </c>
      <c r="R74" s="49" t="str">
        <f ca="1">IF(NOT(ISBLANK($B$74)),TRIM(MID(SUBSTITUTE('Analysis Sheet'!$B$74,", ",REPT(" ",LEN('Analysis Sheet'!$B$74))),((COLUMNS('Analysis Sheet'!$B$74:$B$74)-(OFFSET('Values Table'!AD2,0,0)))*LEN('Analysis Sheet'!$B$74))+1,LEN('Analysis Sheet'!$B$74))))</f>
        <v/>
      </c>
      <c r="S74" s="49" t="str">
        <f ca="1">IF(NOT(ISBLANK($B$74)),TRIM(MID(SUBSTITUTE('Analysis Sheet'!$B$74,", ",REPT(" ",LEN('Analysis Sheet'!$B$74))),((COLUMNS('Analysis Sheet'!$B$74:$B$74)-(OFFSET('Values Table'!AE2,0,0)))*LEN('Analysis Sheet'!$B$74))+1,LEN('Analysis Sheet'!$B$74))))</f>
        <v/>
      </c>
      <c r="T74" s="49" t="str">
        <f ca="1">IF(NOT(ISBLANK($B$74)),TRIM(MID(SUBSTITUTE('Analysis Sheet'!$B$74,", ",REPT(" ",LEN('Analysis Sheet'!$B$74))),((COLUMNS('Analysis Sheet'!$B$74:$B$74)-(OFFSET('Values Table'!AF2,0,0)))*LEN('Analysis Sheet'!$B$74))+1,LEN('Analysis Sheet'!$B$74))))</f>
        <v/>
      </c>
      <c r="U74" s="49" t="str">
        <f ca="1">IF(NOT(ISBLANK($B$74)),TRIM(MID(SUBSTITUTE('Analysis Sheet'!$B$74,", ",REPT(" ",LEN('Analysis Sheet'!$B$74))),((COLUMNS('Analysis Sheet'!$B$74:$B$74)-(OFFSET('Values Table'!AG2,0,0)))*LEN('Analysis Sheet'!$B$74))+1,LEN('Analysis Sheet'!$B$74))))</f>
        <v/>
      </c>
      <c r="V74" s="49" t="str">
        <f ca="1">IF(NOT(ISBLANK($B$74)),TRIM(MID(SUBSTITUTE('Analysis Sheet'!$B$74,", ",REPT(" ",LEN('Analysis Sheet'!$B$74))),((COLUMNS('Analysis Sheet'!$B$74:$B$74)-(OFFSET('Values Table'!AH2,0,0)))*LEN('Analysis Sheet'!$B$74))+1,LEN('Analysis Sheet'!$B$74))))</f>
        <v/>
      </c>
      <c r="W74" s="41"/>
      <c r="X74" s="20" t="str">
        <f ca="1">UNIQUE($C$64:$V$85, 11)</f>
        <v/>
      </c>
      <c r="Y74" s="3" t="str">
        <f ca="1">IFERROR(VLOOKUP('Analysis Sheet'!X74,'Values Table'!$A$2:$B$42,2,FALSE), "0")</f>
        <v>0</v>
      </c>
    </row>
    <row r="75" spans="1:25" s="3" customFormat="1" ht="15" customHeight="1" x14ac:dyDescent="0.3">
      <c r="A75" s="3" t="str">
        <f>UStrip('User Ranking Form'!A77)</f>
        <v/>
      </c>
      <c r="B75" s="19" t="str">
        <f>IFERROR(MatchWords('Analysis Sheet'!A75, 'Values Table'!$A$2:$B$42)," ")</f>
        <v xml:space="preserve"> </v>
      </c>
      <c r="C75" s="49" t="str">
        <f ca="1">IF(NOT(ISBLANK($B$75)),TRIM(MID(SUBSTITUTE('Analysis Sheet'!$B$75,", ",REPT(" ",LEN('Analysis Sheet'!$B$75))),((COLUMNS('Analysis Sheet'!$B$75:$B$75)-(OFFSET('Values Table'!O2,0,0)))*LEN('Analysis Sheet'!$B$75))+1,LEN('Analysis Sheet'!$B$75))))</f>
        <v/>
      </c>
      <c r="D75" s="49" t="str">
        <f ca="1">IF(NOT(ISBLANK($B$75)),TRIM(MID(SUBSTITUTE('Analysis Sheet'!$B$75,", ",REPT(" ",LEN('Analysis Sheet'!$B$75))),((COLUMNS('Analysis Sheet'!$B$75:$B$75)-(OFFSET('Values Table'!P2,0,0)))*LEN('Analysis Sheet'!$B$75))+1,LEN('Analysis Sheet'!$B$75))))</f>
        <v/>
      </c>
      <c r="E75" s="49" t="str">
        <f ca="1">IF(NOT(ISBLANK($B$75)),TRIM(MID(SUBSTITUTE('Analysis Sheet'!$B$75,", ",REPT(" ",LEN('Analysis Sheet'!$B$75))),((COLUMNS('Analysis Sheet'!$B$75:$B$75)-(OFFSET('Values Table'!Q2,0,0)))*LEN('Analysis Sheet'!$B$75))+1,LEN('Analysis Sheet'!$B$75))))</f>
        <v/>
      </c>
      <c r="F75" s="49" t="str">
        <f ca="1">IF(NOT(ISBLANK($B$75)),TRIM(MID(SUBSTITUTE('Analysis Sheet'!$B$75,", ",REPT(" ",LEN('Analysis Sheet'!$B$75))),((COLUMNS('Analysis Sheet'!$B$75:$B$75)-(OFFSET('Values Table'!R2,0,0)))*LEN('Analysis Sheet'!$B$75))+1,LEN('Analysis Sheet'!$B$75))))</f>
        <v/>
      </c>
      <c r="G75" s="49" t="str">
        <f ca="1">IF(NOT(ISBLANK($B$75)),TRIM(MID(SUBSTITUTE('Analysis Sheet'!$B$75,", ",REPT(" ",LEN('Analysis Sheet'!$B$75))),((COLUMNS('Analysis Sheet'!$B$75:$B$75)-(OFFSET('Values Table'!S2,0,0)))*LEN('Analysis Sheet'!$B$75))+1,LEN('Analysis Sheet'!$B$75))))</f>
        <v/>
      </c>
      <c r="H75" s="49" t="str">
        <f ca="1">IF(NOT(ISBLANK($B$75)),TRIM(MID(SUBSTITUTE('Analysis Sheet'!$B$75,", ",REPT(" ",LEN('Analysis Sheet'!$B$75))),((COLUMNS('Analysis Sheet'!$B$75:$B$75)-(OFFSET('Values Table'!T2,0,0)))*LEN('Analysis Sheet'!$B$75))+1,LEN('Analysis Sheet'!$B$75))))</f>
        <v/>
      </c>
      <c r="I75" s="49" t="str">
        <f ca="1">IF(NOT(ISBLANK($B$75)),TRIM(MID(SUBSTITUTE('Analysis Sheet'!$B$75,", ",REPT(" ",LEN('Analysis Sheet'!$B$75))),((COLUMNS('Analysis Sheet'!$B$75:$B$75)-(OFFSET('Values Table'!U2,0,0)))*LEN('Analysis Sheet'!$B$75))+1,LEN('Analysis Sheet'!$B$75))))</f>
        <v/>
      </c>
      <c r="J75" s="49" t="str">
        <f ca="1">IF(NOT(ISBLANK($B$75)),TRIM(MID(SUBSTITUTE('Analysis Sheet'!$B$75,", ",REPT(" ",LEN('Analysis Sheet'!$B$75))),((COLUMNS('Analysis Sheet'!$B$75:$B$75)-(OFFSET('Values Table'!V2,0,0)))*LEN('Analysis Sheet'!$B$75))+1,LEN('Analysis Sheet'!$B$75))))</f>
        <v/>
      </c>
      <c r="K75" s="49" t="str">
        <f ca="1">IF(NOT(ISBLANK($B$75)),TRIM(MID(SUBSTITUTE('Analysis Sheet'!$B$75,", ",REPT(" ",LEN('Analysis Sheet'!$B$75))),((COLUMNS('Analysis Sheet'!$B$75:$B$75)-(OFFSET('Values Table'!W2,0,0)))*LEN('Analysis Sheet'!$B$75))+1,LEN('Analysis Sheet'!$B$75))))</f>
        <v/>
      </c>
      <c r="L75" s="49" t="str">
        <f ca="1">IF(NOT(ISBLANK($B$75)),TRIM(MID(SUBSTITUTE('Analysis Sheet'!$B$75,", ",REPT(" ",LEN('Analysis Sheet'!$B$75))),((COLUMNS('Analysis Sheet'!$B$75:$B$75)-(OFFSET('Values Table'!X2,0,0)))*LEN('Analysis Sheet'!$B$75))+1,LEN('Analysis Sheet'!$B$75))))</f>
        <v/>
      </c>
      <c r="M75" s="49" t="str">
        <f ca="1">IF(NOT(ISBLANK($B$75)),TRIM(MID(SUBSTITUTE('Analysis Sheet'!$B$75,", ",REPT(" ",LEN('Analysis Sheet'!$B$75))),((COLUMNS('Analysis Sheet'!$B$75:$B$75)-(OFFSET('Values Table'!Y2,0,0)))*LEN('Analysis Sheet'!$B$75))+1,LEN('Analysis Sheet'!$B$75))))</f>
        <v/>
      </c>
      <c r="N75" s="49" t="str">
        <f ca="1">IF(NOT(ISBLANK($B$75)),TRIM(MID(SUBSTITUTE('Analysis Sheet'!$B$75,", ",REPT(" ",LEN('Analysis Sheet'!$B$75))),((COLUMNS('Analysis Sheet'!$B$75:$B$75)-(OFFSET('Values Table'!Z2,0,0)))*LEN('Analysis Sheet'!$B$75))+1,LEN('Analysis Sheet'!$B$75))))</f>
        <v/>
      </c>
      <c r="O75" s="49" t="str">
        <f ca="1">IF(NOT(ISBLANK($B$75)),TRIM(MID(SUBSTITUTE('Analysis Sheet'!$B$75,", ",REPT(" ",LEN('Analysis Sheet'!$B$75))),((COLUMNS('Analysis Sheet'!$B$75:$B$75)-(OFFSET('Values Table'!AA2,0,0)))*LEN('Analysis Sheet'!$B$75))+1,LEN('Analysis Sheet'!$B$75))))</f>
        <v/>
      </c>
      <c r="P75" s="49" t="str">
        <f ca="1">IF(NOT(ISBLANK($B$75)),TRIM(MID(SUBSTITUTE('Analysis Sheet'!$B$75,", ",REPT(" ",LEN('Analysis Sheet'!$B$75))),((COLUMNS('Analysis Sheet'!$B$75:$B$75)-(OFFSET('Values Table'!AB2,0,0)))*LEN('Analysis Sheet'!$B$75))+1,LEN('Analysis Sheet'!$B$75))))</f>
        <v/>
      </c>
      <c r="Q75" s="49" t="str">
        <f ca="1">IF(NOT(ISBLANK($B$75)),TRIM(MID(SUBSTITUTE('Analysis Sheet'!$B$75,", ",REPT(" ",LEN('Analysis Sheet'!$B$75))),((COLUMNS('Analysis Sheet'!$B$75:$B$75)-(OFFSET('Values Table'!AC2,0,0)))*LEN('Analysis Sheet'!$B$75))+1,LEN('Analysis Sheet'!$B$75))))</f>
        <v/>
      </c>
      <c r="R75" s="49" t="str">
        <f ca="1">IF(NOT(ISBLANK($B$75)),TRIM(MID(SUBSTITUTE('Analysis Sheet'!$B$75,", ",REPT(" ",LEN('Analysis Sheet'!$B$75))),((COLUMNS('Analysis Sheet'!$B$75:$B$75)-(OFFSET('Values Table'!AD2,0,0)))*LEN('Analysis Sheet'!$B$75))+1,LEN('Analysis Sheet'!$B$75))))</f>
        <v/>
      </c>
      <c r="S75" s="49" t="str">
        <f ca="1">IF(NOT(ISBLANK($B$75)),TRIM(MID(SUBSTITUTE('Analysis Sheet'!$B$75,", ",REPT(" ",LEN('Analysis Sheet'!$B$75))),((COLUMNS('Analysis Sheet'!$B$75:$B$75)-(OFFSET('Values Table'!AE2,0,0)))*LEN('Analysis Sheet'!$B$75))+1,LEN('Analysis Sheet'!$B$75))))</f>
        <v/>
      </c>
      <c r="T75" s="49" t="str">
        <f ca="1">IF(NOT(ISBLANK($B$75)),TRIM(MID(SUBSTITUTE('Analysis Sheet'!$B$75,", ",REPT(" ",LEN('Analysis Sheet'!$B$75))),((COLUMNS('Analysis Sheet'!$B$75:$B$75)-(OFFSET('Values Table'!AF2,0,0)))*LEN('Analysis Sheet'!$B$75))+1,LEN('Analysis Sheet'!$B$75))))</f>
        <v/>
      </c>
      <c r="U75" s="49" t="str">
        <f ca="1">IF(NOT(ISBLANK($B$75)),TRIM(MID(SUBSTITUTE('Analysis Sheet'!$B$75,", ",REPT(" ",LEN('Analysis Sheet'!$B$75))),((COLUMNS('Analysis Sheet'!$B$75:$B$75)-(OFFSET('Values Table'!AG2,0,0)))*LEN('Analysis Sheet'!$B$75))+1,LEN('Analysis Sheet'!$B$75))))</f>
        <v/>
      </c>
      <c r="V75" s="49" t="str">
        <f ca="1">IF(NOT(ISBLANK($B$75)),TRIM(MID(SUBSTITUTE('Analysis Sheet'!$B$75,", ",REPT(" ",LEN('Analysis Sheet'!$B$75))),((COLUMNS('Analysis Sheet'!$B$75:$B$75)-(OFFSET('Values Table'!AH2,0,0)))*LEN('Analysis Sheet'!$B$75))+1,LEN('Analysis Sheet'!$B$75))))</f>
        <v/>
      </c>
      <c r="W75" s="41"/>
      <c r="X75" s="20" t="str">
        <f ca="1">UNIQUE($C$64:$V$85, 12)</f>
        <v/>
      </c>
      <c r="Y75" s="3" t="str">
        <f ca="1">IFERROR(VLOOKUP('Analysis Sheet'!X75,'Values Table'!$A$2:$B$42,2,FALSE), "0")</f>
        <v>0</v>
      </c>
    </row>
    <row r="76" spans="1:25" s="3" customFormat="1" ht="15" customHeight="1" x14ac:dyDescent="0.3">
      <c r="A76" s="3" t="str">
        <f>UStrip('User Ranking Form'!A78)</f>
        <v/>
      </c>
      <c r="B76" s="19" t="str">
        <f>IFERROR(MatchWords('Analysis Sheet'!A76, 'Values Table'!$A$2:$B$42)," ")</f>
        <v xml:space="preserve"> </v>
      </c>
      <c r="C76" s="49" t="str">
        <f ca="1">IF(NOT(ISBLANK($B$76)),TRIM(MID(SUBSTITUTE('Analysis Sheet'!$B$76,", ",REPT(" ",LEN('Analysis Sheet'!$B$76))),((COLUMNS('Analysis Sheet'!$B$76:$B$76)-(OFFSET('Values Table'!O2,0,0)))*LEN('Analysis Sheet'!$B$76))+1,LEN('Analysis Sheet'!$B$76))))</f>
        <v/>
      </c>
      <c r="D76" s="49" t="str">
        <f ca="1">IF(NOT(ISBLANK($B$76)),TRIM(MID(SUBSTITUTE('Analysis Sheet'!$B$76,", ",REPT(" ",LEN('Analysis Sheet'!$B$76))),((COLUMNS('Analysis Sheet'!$B$76:$B$76)-(OFFSET('Values Table'!P2,0,0)))*LEN('Analysis Sheet'!$B$76))+1,LEN('Analysis Sheet'!$B$76))))</f>
        <v/>
      </c>
      <c r="E76" s="49" t="str">
        <f ca="1">IF(NOT(ISBLANK($B$76)),TRIM(MID(SUBSTITUTE('Analysis Sheet'!$B$76,", ",REPT(" ",LEN('Analysis Sheet'!$B$76))),((COLUMNS('Analysis Sheet'!$B$76:$B$76)-(OFFSET('Values Table'!Q2,0,0)))*LEN('Analysis Sheet'!$B$76))+1,LEN('Analysis Sheet'!$B$76))))</f>
        <v/>
      </c>
      <c r="F76" s="49" t="str">
        <f ca="1">IF(NOT(ISBLANK($B$76)),TRIM(MID(SUBSTITUTE('Analysis Sheet'!$B$76,", ",REPT(" ",LEN('Analysis Sheet'!$B$76))),((COLUMNS('Analysis Sheet'!$B$76:$B$76)-(OFFSET('Values Table'!R2,0,0)))*LEN('Analysis Sheet'!$B$76))+1,LEN('Analysis Sheet'!$B$76))))</f>
        <v/>
      </c>
      <c r="G76" s="49" t="str">
        <f ca="1">IF(NOT(ISBLANK($B$76)),TRIM(MID(SUBSTITUTE('Analysis Sheet'!$B$76,", ",REPT(" ",LEN('Analysis Sheet'!$B$76))),((COLUMNS('Analysis Sheet'!$B$76:$B$76)-(OFFSET('Values Table'!S2,0,0)))*LEN('Analysis Sheet'!$B$76))+1,LEN('Analysis Sheet'!$B$76))))</f>
        <v/>
      </c>
      <c r="H76" s="49" t="str">
        <f ca="1">IF(NOT(ISBLANK($B$76)),TRIM(MID(SUBSTITUTE('Analysis Sheet'!$B$76,", ",REPT(" ",LEN('Analysis Sheet'!$B$76))),((COLUMNS('Analysis Sheet'!$B$76:$B$76)-(OFFSET('Values Table'!T2,0,0)))*LEN('Analysis Sheet'!$B$76))+1,LEN('Analysis Sheet'!$B$76))))</f>
        <v/>
      </c>
      <c r="I76" s="49" t="str">
        <f ca="1">IF(NOT(ISBLANK($B$76)),TRIM(MID(SUBSTITUTE('Analysis Sheet'!$B$76,", ",REPT(" ",LEN('Analysis Sheet'!$B$76))),((COLUMNS('Analysis Sheet'!$B$76:$B$76)-(OFFSET('Values Table'!U2,0,0)))*LEN('Analysis Sheet'!$B$76))+1,LEN('Analysis Sheet'!$B$76))))</f>
        <v/>
      </c>
      <c r="J76" s="49" t="str">
        <f ca="1">IF(NOT(ISBLANK($B$76)),TRIM(MID(SUBSTITUTE('Analysis Sheet'!$B$76,", ",REPT(" ",LEN('Analysis Sheet'!$B$76))),((COLUMNS('Analysis Sheet'!$B$76:$B$76)-(OFFSET('Values Table'!V2,0,0)))*LEN('Analysis Sheet'!$B$76))+1,LEN('Analysis Sheet'!$B$76))))</f>
        <v/>
      </c>
      <c r="K76" s="49" t="str">
        <f ca="1">IF(NOT(ISBLANK($B$76)),TRIM(MID(SUBSTITUTE('Analysis Sheet'!$B$76,", ",REPT(" ",LEN('Analysis Sheet'!$B$76))),((COLUMNS('Analysis Sheet'!$B$76:$B$76)-(OFFSET('Values Table'!W2,0,0)))*LEN('Analysis Sheet'!$B$76))+1,LEN('Analysis Sheet'!$B$76))))</f>
        <v/>
      </c>
      <c r="L76" s="49" t="str">
        <f ca="1">IF(NOT(ISBLANK($B$76)),TRIM(MID(SUBSTITUTE('Analysis Sheet'!$B$76,", ",REPT(" ",LEN('Analysis Sheet'!$B$76))),((COLUMNS('Analysis Sheet'!$B$76:$B$76)-(OFFSET('Values Table'!X2,0,0)))*LEN('Analysis Sheet'!$B$76))+1,LEN('Analysis Sheet'!$B$76))))</f>
        <v/>
      </c>
      <c r="M76" s="49" t="str">
        <f ca="1">IF(NOT(ISBLANK($B$76)),TRIM(MID(SUBSTITUTE('Analysis Sheet'!$B$76,", ",REPT(" ",LEN('Analysis Sheet'!$B$76))),((COLUMNS('Analysis Sheet'!$B$76:$B$76)-(OFFSET('Values Table'!Y2,0,0)))*LEN('Analysis Sheet'!$B$76))+1,LEN('Analysis Sheet'!$B$76))))</f>
        <v/>
      </c>
      <c r="N76" s="49" t="str">
        <f ca="1">IF(NOT(ISBLANK($B$76)),TRIM(MID(SUBSTITUTE('Analysis Sheet'!$B$76,", ",REPT(" ",LEN('Analysis Sheet'!$B$76))),((COLUMNS('Analysis Sheet'!$B$76:$B$76)-(OFFSET('Values Table'!Z2,0,0)))*LEN('Analysis Sheet'!$B$76))+1,LEN('Analysis Sheet'!$B$76))))</f>
        <v/>
      </c>
      <c r="O76" s="49" t="str">
        <f ca="1">IF(NOT(ISBLANK($B$76)),TRIM(MID(SUBSTITUTE('Analysis Sheet'!$B$76,", ",REPT(" ",LEN('Analysis Sheet'!$B$76))),((COLUMNS('Analysis Sheet'!$B$76:$B$76)-(OFFSET('Values Table'!AA2,0,0)))*LEN('Analysis Sheet'!$B$76))+1,LEN('Analysis Sheet'!$B$76))))</f>
        <v/>
      </c>
      <c r="P76" s="49" t="str">
        <f ca="1">IF(NOT(ISBLANK($B$76)),TRIM(MID(SUBSTITUTE('Analysis Sheet'!$B$76,", ",REPT(" ",LEN('Analysis Sheet'!$B$76))),((COLUMNS('Analysis Sheet'!$B$76:$B$76)-(OFFSET('Values Table'!AB2,0,0)))*LEN('Analysis Sheet'!$B$76))+1,LEN('Analysis Sheet'!$B$76))))</f>
        <v/>
      </c>
      <c r="Q76" s="49" t="str">
        <f ca="1">IF(NOT(ISBLANK($B$76)),TRIM(MID(SUBSTITUTE('Analysis Sheet'!$B$76,", ",REPT(" ",LEN('Analysis Sheet'!$B$76))),((COLUMNS('Analysis Sheet'!$B$76:$B$76)-(OFFSET('Values Table'!AC2,0,0)))*LEN('Analysis Sheet'!$B$76))+1,LEN('Analysis Sheet'!$B$76))))</f>
        <v/>
      </c>
      <c r="R76" s="49" t="str">
        <f ca="1">IF(NOT(ISBLANK($B$76)),TRIM(MID(SUBSTITUTE('Analysis Sheet'!$B$76,", ",REPT(" ",LEN('Analysis Sheet'!$B$76))),((COLUMNS('Analysis Sheet'!$B$76:$B$76)-(OFFSET('Values Table'!AD2,0,0)))*LEN('Analysis Sheet'!$B$76))+1,LEN('Analysis Sheet'!$B$76))))</f>
        <v/>
      </c>
      <c r="S76" s="49" t="str">
        <f ca="1">IF(NOT(ISBLANK($B$76)),TRIM(MID(SUBSTITUTE('Analysis Sheet'!$B$76,", ",REPT(" ",LEN('Analysis Sheet'!$B$76))),((COLUMNS('Analysis Sheet'!$B$76:$B$76)-(OFFSET('Values Table'!AE2,0,0)))*LEN('Analysis Sheet'!$B$76))+1,LEN('Analysis Sheet'!$B$76))))</f>
        <v/>
      </c>
      <c r="T76" s="49" t="str">
        <f ca="1">IF(NOT(ISBLANK($B$76)),TRIM(MID(SUBSTITUTE('Analysis Sheet'!$B$76,", ",REPT(" ",LEN('Analysis Sheet'!$B$76))),((COLUMNS('Analysis Sheet'!$B$76:$B$76)-(OFFSET('Values Table'!AF2,0,0)))*LEN('Analysis Sheet'!$B$76))+1,LEN('Analysis Sheet'!$B$76))))</f>
        <v/>
      </c>
      <c r="U76" s="49" t="str">
        <f ca="1">IF(NOT(ISBLANK($B$76)),TRIM(MID(SUBSTITUTE('Analysis Sheet'!$B$76,", ",REPT(" ",LEN('Analysis Sheet'!$B$76))),((COLUMNS('Analysis Sheet'!$B$76:$B$76)-(OFFSET('Values Table'!AG2,0,0)))*LEN('Analysis Sheet'!$B$76))+1,LEN('Analysis Sheet'!$B$76))))</f>
        <v/>
      </c>
      <c r="V76" s="49" t="str">
        <f ca="1">IF(NOT(ISBLANK($B$76)),TRIM(MID(SUBSTITUTE('Analysis Sheet'!$B$76,", ",REPT(" ",LEN('Analysis Sheet'!$B$76))),((COLUMNS('Analysis Sheet'!$B$76:$B$76)-(OFFSET('Values Table'!AH2,0,0)))*LEN('Analysis Sheet'!$B$76))+1,LEN('Analysis Sheet'!$B$76))))</f>
        <v/>
      </c>
      <c r="W76" s="41"/>
      <c r="X76" s="20" t="str">
        <f ca="1">UNIQUE($C$64:$V$85, 13)</f>
        <v/>
      </c>
      <c r="Y76" s="3" t="str">
        <f ca="1">IFERROR(VLOOKUP('Analysis Sheet'!X76,'Values Table'!$A$2:$B$42,2,FALSE), "0")</f>
        <v>0</v>
      </c>
    </row>
    <row r="77" spans="1:25" s="3" customFormat="1" ht="15" customHeight="1" x14ac:dyDescent="0.3">
      <c r="A77" s="3" t="str">
        <f>UStrip('User Ranking Form'!A79)</f>
        <v/>
      </c>
      <c r="B77" s="19" t="str">
        <f>IFERROR(MatchWords('Analysis Sheet'!A77, 'Values Table'!$A$2:$B$42)," ")</f>
        <v xml:space="preserve"> </v>
      </c>
      <c r="C77" s="49" t="str">
        <f ca="1">IF(NOT(ISBLANK($B$77)),TRIM(MID(SUBSTITUTE('Analysis Sheet'!$B$77,", ",REPT(" ",LEN('Analysis Sheet'!$B$77))),((COLUMNS('Analysis Sheet'!$B$77:$B$77)-(OFFSET('Values Table'!O2,0,0)))*LEN('Analysis Sheet'!$B$77))+1,LEN('Analysis Sheet'!$B$77))))</f>
        <v/>
      </c>
      <c r="D77" s="49" t="str">
        <f ca="1">IF(NOT(ISBLANK($B$77)),TRIM(MID(SUBSTITUTE('Analysis Sheet'!$B$77,", ",REPT(" ",LEN('Analysis Sheet'!$B$77))),((COLUMNS('Analysis Sheet'!$B$77:$B$77)-(OFFSET('Values Table'!P2,0,0)))*LEN('Analysis Sheet'!$B$77))+1,LEN('Analysis Sheet'!$B$77))))</f>
        <v/>
      </c>
      <c r="E77" s="49" t="str">
        <f ca="1">IF(NOT(ISBLANK($B$77)),TRIM(MID(SUBSTITUTE('Analysis Sheet'!$B$77,", ",REPT(" ",LEN('Analysis Sheet'!$B$77))),((COLUMNS('Analysis Sheet'!$B$77:$B$77)-(OFFSET('Values Table'!Q2,0,0)))*LEN('Analysis Sheet'!$B$77))+1,LEN('Analysis Sheet'!$B$77))))</f>
        <v/>
      </c>
      <c r="F77" s="49" t="str">
        <f ca="1">IF(NOT(ISBLANK($B$77)),TRIM(MID(SUBSTITUTE('Analysis Sheet'!$B$77,", ",REPT(" ",LEN('Analysis Sheet'!$B$77))),((COLUMNS('Analysis Sheet'!$B$77:$B$77)-(OFFSET('Values Table'!R2,0,0)))*LEN('Analysis Sheet'!$B$77))+1,LEN('Analysis Sheet'!$B$77))))</f>
        <v/>
      </c>
      <c r="G77" s="49" t="str">
        <f ca="1">IF(NOT(ISBLANK($B$77)),TRIM(MID(SUBSTITUTE('Analysis Sheet'!$B$77,", ",REPT(" ",LEN('Analysis Sheet'!$B$77))),((COLUMNS('Analysis Sheet'!$B$77:$B$77)-(OFFSET('Values Table'!S2,0,0)))*LEN('Analysis Sheet'!$B$77))+1,LEN('Analysis Sheet'!$B$77))))</f>
        <v/>
      </c>
      <c r="H77" s="49" t="str">
        <f ca="1">IF(NOT(ISBLANK($B$77)),TRIM(MID(SUBSTITUTE('Analysis Sheet'!$B$77,", ",REPT(" ",LEN('Analysis Sheet'!$B$77))),((COLUMNS('Analysis Sheet'!$B$77:$B$77)-(OFFSET('Values Table'!T2,0,0)))*LEN('Analysis Sheet'!$B$77))+1,LEN('Analysis Sheet'!$B$77))))</f>
        <v/>
      </c>
      <c r="I77" s="49" t="str">
        <f ca="1">IF(NOT(ISBLANK($B$77)),TRIM(MID(SUBSTITUTE('Analysis Sheet'!$B$77,", ",REPT(" ",LEN('Analysis Sheet'!$B$77))),((COLUMNS('Analysis Sheet'!$B$77:$B$77)-(OFFSET('Values Table'!U2,0,0)))*LEN('Analysis Sheet'!$B$77))+1,LEN('Analysis Sheet'!$B$77))))</f>
        <v/>
      </c>
      <c r="J77" s="49" t="str">
        <f ca="1">IF(NOT(ISBLANK($B$77)),TRIM(MID(SUBSTITUTE('Analysis Sheet'!$B$77,", ",REPT(" ",LEN('Analysis Sheet'!$B$77))),((COLUMNS('Analysis Sheet'!$B$77:$B$77)-(OFFSET('Values Table'!V2,0,0)))*LEN('Analysis Sheet'!$B$77))+1,LEN('Analysis Sheet'!$B$77))))</f>
        <v/>
      </c>
      <c r="K77" s="49" t="str">
        <f ca="1">IF(NOT(ISBLANK($B$77)),TRIM(MID(SUBSTITUTE('Analysis Sheet'!$B$77,", ",REPT(" ",LEN('Analysis Sheet'!$B$77))),((COLUMNS('Analysis Sheet'!$B$77:$B$77)-(OFFSET('Values Table'!W2,0,0)))*LEN('Analysis Sheet'!$B$77))+1,LEN('Analysis Sheet'!$B$77))))</f>
        <v/>
      </c>
      <c r="L77" s="49" t="str">
        <f ca="1">IF(NOT(ISBLANK($B$77)),TRIM(MID(SUBSTITUTE('Analysis Sheet'!$B$77,", ",REPT(" ",LEN('Analysis Sheet'!$B$77))),((COLUMNS('Analysis Sheet'!$B$77:$B$77)-(OFFSET('Values Table'!X2,0,0)))*LEN('Analysis Sheet'!$B$77))+1,LEN('Analysis Sheet'!$B$77))))</f>
        <v/>
      </c>
      <c r="M77" s="49" t="str">
        <f ca="1">IF(NOT(ISBLANK($B$77)),TRIM(MID(SUBSTITUTE('Analysis Sheet'!$B$77,", ",REPT(" ",LEN('Analysis Sheet'!$B$77))),((COLUMNS('Analysis Sheet'!$B$77:$B$77)-(OFFSET('Values Table'!Y2,0,0)))*LEN('Analysis Sheet'!$B$77))+1,LEN('Analysis Sheet'!$B$77))))</f>
        <v/>
      </c>
      <c r="N77" s="49" t="str">
        <f ca="1">IF(NOT(ISBLANK($B$77)),TRIM(MID(SUBSTITUTE('Analysis Sheet'!$B$77,", ",REPT(" ",LEN('Analysis Sheet'!$B$77))),((COLUMNS('Analysis Sheet'!$B$77:$B$77)-(OFFSET('Values Table'!Z2,0,0)))*LEN('Analysis Sheet'!$B$77))+1,LEN('Analysis Sheet'!$B$77))))</f>
        <v/>
      </c>
      <c r="O77" s="49" t="str">
        <f ca="1">IF(NOT(ISBLANK($B$77)),TRIM(MID(SUBSTITUTE('Analysis Sheet'!$B$77,", ",REPT(" ",LEN('Analysis Sheet'!$B$77))),((COLUMNS('Analysis Sheet'!$B$77:$B$77)-(OFFSET('Values Table'!AA2,0,0)))*LEN('Analysis Sheet'!$B$77))+1,LEN('Analysis Sheet'!$B$77))))</f>
        <v/>
      </c>
      <c r="P77" s="49" t="str">
        <f ca="1">IF(NOT(ISBLANK($B$77)),TRIM(MID(SUBSTITUTE('Analysis Sheet'!$B$77,", ",REPT(" ",LEN('Analysis Sheet'!$B$77))),((COLUMNS('Analysis Sheet'!$B$77:$B$77)-(OFFSET('Values Table'!AB2,0,0)))*LEN('Analysis Sheet'!$B$77))+1,LEN('Analysis Sheet'!$B$77))))</f>
        <v/>
      </c>
      <c r="Q77" s="49" t="str">
        <f ca="1">IF(NOT(ISBLANK($B$77)),TRIM(MID(SUBSTITUTE('Analysis Sheet'!$B$77,", ",REPT(" ",LEN('Analysis Sheet'!$B$77))),((COLUMNS('Analysis Sheet'!$B$77:$B$77)-(OFFSET('Values Table'!AC2,0,0)))*LEN('Analysis Sheet'!$B$77))+1,LEN('Analysis Sheet'!$B$77))))</f>
        <v/>
      </c>
      <c r="R77" s="49" t="str">
        <f ca="1">IF(NOT(ISBLANK($B$77)),TRIM(MID(SUBSTITUTE('Analysis Sheet'!$B$77,", ",REPT(" ",LEN('Analysis Sheet'!$B$77))),((COLUMNS('Analysis Sheet'!$B$77:$B$77)-(OFFSET('Values Table'!AD2,0,0)))*LEN('Analysis Sheet'!$B$77))+1,LEN('Analysis Sheet'!$B$77))))</f>
        <v/>
      </c>
      <c r="S77" s="49" t="str">
        <f ca="1">IF(NOT(ISBLANK($B$77)),TRIM(MID(SUBSTITUTE('Analysis Sheet'!$B$77,", ",REPT(" ",LEN('Analysis Sheet'!$B$77))),((COLUMNS('Analysis Sheet'!$B$77:$B$77)-(OFFSET('Values Table'!AE2,0,0)))*LEN('Analysis Sheet'!$B$77))+1,LEN('Analysis Sheet'!$B$77))))</f>
        <v/>
      </c>
      <c r="T77" s="49" t="str">
        <f ca="1">IF(NOT(ISBLANK($B$77)),TRIM(MID(SUBSTITUTE('Analysis Sheet'!$B$77,", ",REPT(" ",LEN('Analysis Sheet'!$B$77))),((COLUMNS('Analysis Sheet'!$B$77:$B$77)-(OFFSET('Values Table'!AF2,0,0)))*LEN('Analysis Sheet'!$B$77))+1,LEN('Analysis Sheet'!$B$77))))</f>
        <v/>
      </c>
      <c r="U77" s="49" t="str">
        <f ca="1">IF(NOT(ISBLANK($B$77)),TRIM(MID(SUBSTITUTE('Analysis Sheet'!$B$77,", ",REPT(" ",LEN('Analysis Sheet'!$B$77))),((COLUMNS('Analysis Sheet'!$B$77:$B$77)-(OFFSET('Values Table'!AG2,0,0)))*LEN('Analysis Sheet'!$B$77))+1,LEN('Analysis Sheet'!$B$77))))</f>
        <v/>
      </c>
      <c r="V77" s="49" t="str">
        <f ca="1">IF(NOT(ISBLANK($B$77)),TRIM(MID(SUBSTITUTE('Analysis Sheet'!$B$77,", ",REPT(" ",LEN('Analysis Sheet'!$B$77))),((COLUMNS('Analysis Sheet'!$B$77:$B$77)-(OFFSET('Values Table'!AH2,0,0)))*LEN('Analysis Sheet'!$B$77))+1,LEN('Analysis Sheet'!$B$77))))</f>
        <v/>
      </c>
      <c r="W77" s="41"/>
      <c r="X77" s="20" t="str">
        <f ca="1">UNIQUE($C$64:$V$85, 14)</f>
        <v/>
      </c>
      <c r="Y77" s="3" t="str">
        <f ca="1">IFERROR(VLOOKUP('Analysis Sheet'!X77,'Values Table'!$A$2:$B$42,2,FALSE), "0")</f>
        <v>0</v>
      </c>
    </row>
    <row r="78" spans="1:25" s="3" customFormat="1" ht="15" customHeight="1" x14ac:dyDescent="0.3">
      <c r="A78" s="3" t="str">
        <f>UStrip('User Ranking Form'!A80)</f>
        <v/>
      </c>
      <c r="B78" s="19" t="str">
        <f>IFERROR(MatchWords('Analysis Sheet'!A78, 'Values Table'!$A$2:$B$42)," ")</f>
        <v xml:space="preserve"> </v>
      </c>
      <c r="C78" s="49" t="str">
        <f ca="1">IF(NOT(ISBLANK($B$78)),TRIM(MID(SUBSTITUTE('Analysis Sheet'!$B$78,", ",REPT(" ",LEN('Analysis Sheet'!$B$78))),((COLUMNS('Analysis Sheet'!$B$78:$B$78)-(OFFSET('Values Table'!O2,0,0)))*LEN('Analysis Sheet'!$B$78))+1,LEN('Analysis Sheet'!$B$78))))</f>
        <v/>
      </c>
      <c r="D78" s="49" t="str">
        <f ca="1">IF(NOT(ISBLANK($B$78)),TRIM(MID(SUBSTITUTE('Analysis Sheet'!$B$78,", ",REPT(" ",LEN('Analysis Sheet'!$B$78))),((COLUMNS('Analysis Sheet'!$B$78:$B$78)-(OFFSET('Values Table'!P2,0,0)))*LEN('Analysis Sheet'!$B$78))+1,LEN('Analysis Sheet'!$B$78))))</f>
        <v/>
      </c>
      <c r="E78" s="49" t="str">
        <f ca="1">IF(NOT(ISBLANK($B$78)),TRIM(MID(SUBSTITUTE('Analysis Sheet'!$B$78,", ",REPT(" ",LEN('Analysis Sheet'!$B$78))),((COLUMNS('Analysis Sheet'!$B$78:$B$78)-(OFFSET('Values Table'!Q2,0,0)))*LEN('Analysis Sheet'!$B$78))+1,LEN('Analysis Sheet'!$B$78))))</f>
        <v/>
      </c>
      <c r="F78" s="49" t="str">
        <f ca="1">IF(NOT(ISBLANK($B$78)),TRIM(MID(SUBSTITUTE('Analysis Sheet'!$B$78,", ",REPT(" ",LEN('Analysis Sheet'!$B$78))),((COLUMNS('Analysis Sheet'!$B$78:$B$78)-(OFFSET('Values Table'!R2,0,0)))*LEN('Analysis Sheet'!$B$78))+1,LEN('Analysis Sheet'!$B$78))))</f>
        <v/>
      </c>
      <c r="G78" s="49" t="str">
        <f ca="1">IF(NOT(ISBLANK($B$78)),TRIM(MID(SUBSTITUTE('Analysis Sheet'!$B$78,", ",REPT(" ",LEN('Analysis Sheet'!$B$78))),((COLUMNS('Analysis Sheet'!$B$78:$B$78)-(OFFSET('Values Table'!S2,0,0)))*LEN('Analysis Sheet'!$B$78))+1,LEN('Analysis Sheet'!$B$78))))</f>
        <v/>
      </c>
      <c r="H78" s="49" t="str">
        <f ca="1">IF(NOT(ISBLANK($B$78)),TRIM(MID(SUBSTITUTE('Analysis Sheet'!$B$78,", ",REPT(" ",LEN('Analysis Sheet'!$B$78))),((COLUMNS('Analysis Sheet'!$B$78:$B$78)-(OFFSET('Values Table'!T2,0,0)))*LEN('Analysis Sheet'!$B$78))+1,LEN('Analysis Sheet'!$B$78))))</f>
        <v/>
      </c>
      <c r="I78" s="49" t="str">
        <f ca="1">IF(NOT(ISBLANK($B$78)),TRIM(MID(SUBSTITUTE('Analysis Sheet'!$B$78,", ",REPT(" ",LEN('Analysis Sheet'!$B$78))),((COLUMNS('Analysis Sheet'!$B$78:$B$78)-(OFFSET('Values Table'!U2,0,0)))*LEN('Analysis Sheet'!$B$78))+1,LEN('Analysis Sheet'!$B$78))))</f>
        <v/>
      </c>
      <c r="J78" s="49" t="str">
        <f ca="1">IF(NOT(ISBLANK($B$78)),TRIM(MID(SUBSTITUTE('Analysis Sheet'!$B$78,", ",REPT(" ",LEN('Analysis Sheet'!$B$78))),((COLUMNS('Analysis Sheet'!$B$78:$B$78)-(OFFSET('Values Table'!V2,0,0)))*LEN('Analysis Sheet'!$B$78))+1,LEN('Analysis Sheet'!$B$78))))</f>
        <v/>
      </c>
      <c r="K78" s="49" t="str">
        <f ca="1">IF(NOT(ISBLANK($B$78)),TRIM(MID(SUBSTITUTE('Analysis Sheet'!$B$78,", ",REPT(" ",LEN('Analysis Sheet'!$B$78))),((COLUMNS('Analysis Sheet'!$B$78:$B$78)-(OFFSET('Values Table'!W2,0,0)))*LEN('Analysis Sheet'!$B$78))+1,LEN('Analysis Sheet'!$B$78))))</f>
        <v/>
      </c>
      <c r="L78" s="49" t="str">
        <f ca="1">IF(NOT(ISBLANK($B$78)),TRIM(MID(SUBSTITUTE('Analysis Sheet'!$B$78,", ",REPT(" ",LEN('Analysis Sheet'!$B$78))),((COLUMNS('Analysis Sheet'!$B$78:$B$78)-(OFFSET('Values Table'!X2,0,0)))*LEN('Analysis Sheet'!$B$78))+1,LEN('Analysis Sheet'!$B$78))))</f>
        <v/>
      </c>
      <c r="M78" s="49" t="str">
        <f ca="1">IF(NOT(ISBLANK($B$78)),TRIM(MID(SUBSTITUTE('Analysis Sheet'!$B$78,", ",REPT(" ",LEN('Analysis Sheet'!$B$78))),((COLUMNS('Analysis Sheet'!$B$78:$B$78)-(OFFSET('Values Table'!Y2,0,0)))*LEN('Analysis Sheet'!$B$78))+1,LEN('Analysis Sheet'!$B$78))))</f>
        <v/>
      </c>
      <c r="N78" s="49" t="str">
        <f ca="1">IF(NOT(ISBLANK($B$78)),TRIM(MID(SUBSTITUTE('Analysis Sheet'!$B$78,", ",REPT(" ",LEN('Analysis Sheet'!$B$78))),((COLUMNS('Analysis Sheet'!$B$78:$B$78)-(OFFSET('Values Table'!Z2,0,0)))*LEN('Analysis Sheet'!$B$78))+1,LEN('Analysis Sheet'!$B$78))))</f>
        <v/>
      </c>
      <c r="O78" s="49" t="str">
        <f ca="1">IF(NOT(ISBLANK($B$78)),TRIM(MID(SUBSTITUTE('Analysis Sheet'!$B$78,", ",REPT(" ",LEN('Analysis Sheet'!$B$78))),((COLUMNS('Analysis Sheet'!$B$78:$B$78)-(OFFSET('Values Table'!AA2,0,0)))*LEN('Analysis Sheet'!$B$78))+1,LEN('Analysis Sheet'!$B$78))))</f>
        <v/>
      </c>
      <c r="P78" s="49" t="str">
        <f ca="1">IF(NOT(ISBLANK($B$78)),TRIM(MID(SUBSTITUTE('Analysis Sheet'!$B$78,", ",REPT(" ",LEN('Analysis Sheet'!$B$78))),((COLUMNS('Analysis Sheet'!$B$78:$B$78)-(OFFSET('Values Table'!AB2,0,0)))*LEN('Analysis Sheet'!$B$78))+1,LEN('Analysis Sheet'!$B$78))))</f>
        <v/>
      </c>
      <c r="Q78" s="49" t="str">
        <f ca="1">IF(NOT(ISBLANK($B$78)),TRIM(MID(SUBSTITUTE('Analysis Sheet'!$B$78,", ",REPT(" ",LEN('Analysis Sheet'!$B$78))),((COLUMNS('Analysis Sheet'!$B$78:$B$78)-(OFFSET('Values Table'!AC2,0,0)))*LEN('Analysis Sheet'!$B$78))+1,LEN('Analysis Sheet'!$B$78))))</f>
        <v/>
      </c>
      <c r="R78" s="49" t="str">
        <f ca="1">IF(NOT(ISBLANK($B$78)),TRIM(MID(SUBSTITUTE('Analysis Sheet'!$B$78,", ",REPT(" ",LEN('Analysis Sheet'!$B$78))),((COLUMNS('Analysis Sheet'!$B$78:$B$78)-(OFFSET('Values Table'!AD2,0,0)))*LEN('Analysis Sheet'!$B$78))+1,LEN('Analysis Sheet'!$B$78))))</f>
        <v/>
      </c>
      <c r="S78" s="49" t="str">
        <f ca="1">IF(NOT(ISBLANK($B$78)),TRIM(MID(SUBSTITUTE('Analysis Sheet'!$B$78,", ",REPT(" ",LEN('Analysis Sheet'!$B$78))),((COLUMNS('Analysis Sheet'!$B$78:$B$78)-(OFFSET('Values Table'!AE2,0,0)))*LEN('Analysis Sheet'!$B$78))+1,LEN('Analysis Sheet'!$B$78))))</f>
        <v/>
      </c>
      <c r="T78" s="49" t="str">
        <f ca="1">IF(NOT(ISBLANK($B$78)),TRIM(MID(SUBSTITUTE('Analysis Sheet'!$B$78,", ",REPT(" ",LEN('Analysis Sheet'!$B$78))),((COLUMNS('Analysis Sheet'!$B$78:$B$78)-(OFFSET('Values Table'!AF2,0,0)))*LEN('Analysis Sheet'!$B$78))+1,LEN('Analysis Sheet'!$B$78))))</f>
        <v/>
      </c>
      <c r="U78" s="49" t="str">
        <f ca="1">IF(NOT(ISBLANK($B$78)),TRIM(MID(SUBSTITUTE('Analysis Sheet'!$B$78,", ",REPT(" ",LEN('Analysis Sheet'!$B$78))),((COLUMNS('Analysis Sheet'!$B$78:$B$78)-(OFFSET('Values Table'!AG2,0,0)))*LEN('Analysis Sheet'!$B$78))+1,LEN('Analysis Sheet'!$B$78))))</f>
        <v/>
      </c>
      <c r="V78" s="49" t="str">
        <f ca="1">IF(NOT(ISBLANK($B$78)),TRIM(MID(SUBSTITUTE('Analysis Sheet'!$B$78,", ",REPT(" ",LEN('Analysis Sheet'!$B$78))),((COLUMNS('Analysis Sheet'!$B$78:$B$78)-(OFFSET('Values Table'!AH2,0,0)))*LEN('Analysis Sheet'!$B$78))+1,LEN('Analysis Sheet'!$B$78))))</f>
        <v/>
      </c>
      <c r="W78" s="41"/>
      <c r="X78" s="20" t="str">
        <f ca="1">UNIQUE($C$64:$V$85, 15)</f>
        <v/>
      </c>
      <c r="Y78" s="3" t="str">
        <f ca="1">IFERROR(VLOOKUP('Analysis Sheet'!X78,'Values Table'!$A$2:$B$42,2,FALSE), "0")</f>
        <v>0</v>
      </c>
    </row>
    <row r="79" spans="1:25" s="3" customFormat="1" ht="15" customHeight="1" x14ac:dyDescent="0.3">
      <c r="A79" s="3" t="str">
        <f>UStrip('User Ranking Form'!A81)</f>
        <v/>
      </c>
      <c r="B79" s="19" t="str">
        <f>IFERROR(MatchWords('Analysis Sheet'!A79, 'Values Table'!$A$2:$B$42)," ")</f>
        <v xml:space="preserve"> </v>
      </c>
      <c r="C79" s="49" t="str">
        <f ca="1">IF(NOT(ISBLANK($B$79)),TRIM(MID(SUBSTITUTE('Analysis Sheet'!$B$79,", ",REPT(" ",LEN('Analysis Sheet'!$B$79))),((COLUMNS('Analysis Sheet'!$B$79:$B$79)-(OFFSET('Values Table'!O2,0,0)))*LEN('Analysis Sheet'!$B$79))+1,LEN('Analysis Sheet'!$B$79))))</f>
        <v/>
      </c>
      <c r="D79" s="49" t="str">
        <f ca="1">IF(NOT(ISBLANK($B$79)),TRIM(MID(SUBSTITUTE('Analysis Sheet'!$B$79,", ",REPT(" ",LEN('Analysis Sheet'!$B$79))),((COLUMNS('Analysis Sheet'!$B$79:$B$79)-(OFFSET('Values Table'!P2,0,0)))*LEN('Analysis Sheet'!$B$79))+1,LEN('Analysis Sheet'!$B$79))))</f>
        <v/>
      </c>
      <c r="E79" s="49" t="str">
        <f ca="1">IF(NOT(ISBLANK($B$79)),TRIM(MID(SUBSTITUTE('Analysis Sheet'!$B$79,", ",REPT(" ",LEN('Analysis Sheet'!$B$79))),((COLUMNS('Analysis Sheet'!$B$79:$B$79)-(OFFSET('Values Table'!Q2,0,0)))*LEN('Analysis Sheet'!$B$79))+1,LEN('Analysis Sheet'!$B$79))))</f>
        <v/>
      </c>
      <c r="F79" s="49" t="str">
        <f ca="1">IF(NOT(ISBLANK($B$79)),TRIM(MID(SUBSTITUTE('Analysis Sheet'!$B$79,", ",REPT(" ",LEN('Analysis Sheet'!$B$79))),((COLUMNS('Analysis Sheet'!$B$79:$B$79)-(OFFSET('Values Table'!R2,0,0)))*LEN('Analysis Sheet'!$B$79))+1,LEN('Analysis Sheet'!$B$79))))</f>
        <v/>
      </c>
      <c r="G79" s="49" t="str">
        <f ca="1">IF(NOT(ISBLANK($B$79)),TRIM(MID(SUBSTITUTE('Analysis Sheet'!$B$79,", ",REPT(" ",LEN('Analysis Sheet'!$B$79))),((COLUMNS('Analysis Sheet'!$B$79:$B$79)-(OFFSET('Values Table'!S2,0,0)))*LEN('Analysis Sheet'!$B$79))+1,LEN('Analysis Sheet'!$B$79))))</f>
        <v/>
      </c>
      <c r="H79" s="49" t="str">
        <f ca="1">IF(NOT(ISBLANK($B$79)),TRIM(MID(SUBSTITUTE('Analysis Sheet'!$B$79,", ",REPT(" ",LEN('Analysis Sheet'!$B$79))),((COLUMNS('Analysis Sheet'!$B$79:$B$79)-(OFFSET('Values Table'!T2,0,0)))*LEN('Analysis Sheet'!$B$79))+1,LEN('Analysis Sheet'!$B$79))))</f>
        <v/>
      </c>
      <c r="I79" s="49" t="str">
        <f ca="1">IF(NOT(ISBLANK($B$79)),TRIM(MID(SUBSTITUTE('Analysis Sheet'!$B$79,", ",REPT(" ",LEN('Analysis Sheet'!$B$79))),((COLUMNS('Analysis Sheet'!$B$79:$B$79)-(OFFSET('Values Table'!U2,0,0)))*LEN('Analysis Sheet'!$B$79))+1,LEN('Analysis Sheet'!$B$79))))</f>
        <v/>
      </c>
      <c r="J79" s="49" t="str">
        <f ca="1">IF(NOT(ISBLANK($B$79)),TRIM(MID(SUBSTITUTE('Analysis Sheet'!$B$79,", ",REPT(" ",LEN('Analysis Sheet'!$B$79))),((COLUMNS('Analysis Sheet'!$B$79:$B$79)-(OFFSET('Values Table'!V2,0,0)))*LEN('Analysis Sheet'!$B$79))+1,LEN('Analysis Sheet'!$B$79))))</f>
        <v/>
      </c>
      <c r="K79" s="49" t="str">
        <f ca="1">IF(NOT(ISBLANK($B$79)),TRIM(MID(SUBSTITUTE('Analysis Sheet'!$B$79,", ",REPT(" ",LEN('Analysis Sheet'!$B$79))),((COLUMNS('Analysis Sheet'!$B$79:$B$79)-(OFFSET('Values Table'!W2,0,0)))*LEN('Analysis Sheet'!$B$79))+1,LEN('Analysis Sheet'!$B$79))))</f>
        <v/>
      </c>
      <c r="L79" s="49" t="str">
        <f ca="1">IF(NOT(ISBLANK($B$79)),TRIM(MID(SUBSTITUTE('Analysis Sheet'!$B$79,", ",REPT(" ",LEN('Analysis Sheet'!$B$79))),((COLUMNS('Analysis Sheet'!$B$79:$B$79)-(OFFSET('Values Table'!X2,0,0)))*LEN('Analysis Sheet'!$B$79))+1,LEN('Analysis Sheet'!$B$79))))</f>
        <v/>
      </c>
      <c r="M79" s="49" t="str">
        <f ca="1">IF(NOT(ISBLANK($B$79)),TRIM(MID(SUBSTITUTE('Analysis Sheet'!$B$79,", ",REPT(" ",LEN('Analysis Sheet'!$B$79))),((COLUMNS('Analysis Sheet'!$B$79:$B$79)-(OFFSET('Values Table'!Y2,0,0)))*LEN('Analysis Sheet'!$B$79))+1,LEN('Analysis Sheet'!$B$79))))</f>
        <v/>
      </c>
      <c r="N79" s="49" t="str">
        <f ca="1">IF(NOT(ISBLANK($B$79)),TRIM(MID(SUBSTITUTE('Analysis Sheet'!$B$79,", ",REPT(" ",LEN('Analysis Sheet'!$B$79))),((COLUMNS('Analysis Sheet'!$B$79:$B$79)-(OFFSET('Values Table'!Z2,0,0)))*LEN('Analysis Sheet'!$B$79))+1,LEN('Analysis Sheet'!$B$79))))</f>
        <v/>
      </c>
      <c r="O79" s="49" t="str">
        <f ca="1">IF(NOT(ISBLANK($B$79)),TRIM(MID(SUBSTITUTE('Analysis Sheet'!$B$79,", ",REPT(" ",LEN('Analysis Sheet'!$B$79))),((COLUMNS('Analysis Sheet'!$B$79:$B$79)-(OFFSET('Values Table'!AA2,0,0)))*LEN('Analysis Sheet'!$B$79))+1,LEN('Analysis Sheet'!$B$79))))</f>
        <v/>
      </c>
      <c r="P79" s="49" t="str">
        <f ca="1">IF(NOT(ISBLANK($B$79)),TRIM(MID(SUBSTITUTE('Analysis Sheet'!$B$79,", ",REPT(" ",LEN('Analysis Sheet'!$B$79))),((COLUMNS('Analysis Sheet'!$B$79:$B$79)-(OFFSET('Values Table'!AB2,0,0)))*LEN('Analysis Sheet'!$B$79))+1,LEN('Analysis Sheet'!$B$79))))</f>
        <v/>
      </c>
      <c r="Q79" s="49" t="str">
        <f ca="1">IF(NOT(ISBLANK($B$79)),TRIM(MID(SUBSTITUTE('Analysis Sheet'!$B$79,", ",REPT(" ",LEN('Analysis Sheet'!$B$79))),((COLUMNS('Analysis Sheet'!$B$79:$B$79)-(OFFSET('Values Table'!AC2,0,0)))*LEN('Analysis Sheet'!$B$79))+1,LEN('Analysis Sheet'!$B$79))))</f>
        <v/>
      </c>
      <c r="R79" s="49" t="str">
        <f ca="1">IF(NOT(ISBLANK($B$79)),TRIM(MID(SUBSTITUTE('Analysis Sheet'!$B$79,", ",REPT(" ",LEN('Analysis Sheet'!$B$79))),((COLUMNS('Analysis Sheet'!$B$79:$B$79)-(OFFSET('Values Table'!AD2,0,0)))*LEN('Analysis Sheet'!$B$79))+1,LEN('Analysis Sheet'!$B$79))))</f>
        <v/>
      </c>
      <c r="S79" s="49" t="str">
        <f ca="1">IF(NOT(ISBLANK($B$79)),TRIM(MID(SUBSTITUTE('Analysis Sheet'!$B$79,", ",REPT(" ",LEN('Analysis Sheet'!$B$79))),((COLUMNS('Analysis Sheet'!$B$79:$B$79)-(OFFSET('Values Table'!AE2,0,0)))*LEN('Analysis Sheet'!$B$79))+1,LEN('Analysis Sheet'!$B$79))))</f>
        <v/>
      </c>
      <c r="T79" s="49" t="str">
        <f ca="1">IF(NOT(ISBLANK($B$79)),TRIM(MID(SUBSTITUTE('Analysis Sheet'!$B$79,", ",REPT(" ",LEN('Analysis Sheet'!$B$79))),((COLUMNS('Analysis Sheet'!$B$79:$B$79)-(OFFSET('Values Table'!AF2,0,0)))*LEN('Analysis Sheet'!$B$79))+1,LEN('Analysis Sheet'!$B$79))))</f>
        <v/>
      </c>
      <c r="U79" s="49" t="str">
        <f ca="1">IF(NOT(ISBLANK($B$79)),TRIM(MID(SUBSTITUTE('Analysis Sheet'!$B$79,", ",REPT(" ",LEN('Analysis Sheet'!$B$79))),((COLUMNS('Analysis Sheet'!$B$79:$B$79)-(OFFSET('Values Table'!AG2,0,0)))*LEN('Analysis Sheet'!$B$79))+1,LEN('Analysis Sheet'!$B$79))))</f>
        <v/>
      </c>
      <c r="V79" s="49" t="str">
        <f ca="1">IF(NOT(ISBLANK($B$79)),TRIM(MID(SUBSTITUTE('Analysis Sheet'!$B$79,", ",REPT(" ",LEN('Analysis Sheet'!$B$79))),((COLUMNS('Analysis Sheet'!$B$79:$B$79)-(OFFSET('Values Table'!AH2,0,0)))*LEN('Analysis Sheet'!$B$79))+1,LEN('Analysis Sheet'!$B$79))))</f>
        <v/>
      </c>
      <c r="W79" s="41"/>
      <c r="X79" s="20" t="str">
        <f ca="1">UNIQUE($C$64:$V$85, 16)</f>
        <v/>
      </c>
      <c r="Y79" s="3" t="str">
        <f ca="1">IFERROR(VLOOKUP('Analysis Sheet'!X79,'Values Table'!$A$2:$B$42,2,FALSE), "0")</f>
        <v>0</v>
      </c>
    </row>
    <row r="80" spans="1:25" s="3" customFormat="1" ht="15" customHeight="1" x14ac:dyDescent="0.3">
      <c r="A80" s="3" t="str">
        <f>UStrip('User Ranking Form'!A82)</f>
        <v/>
      </c>
      <c r="B80" s="19" t="str">
        <f>IFERROR(MatchWords('Analysis Sheet'!A80, 'Values Table'!$A$2:$B$42)," ")</f>
        <v xml:space="preserve"> </v>
      </c>
      <c r="C80" s="49" t="str">
        <f ca="1">IF(NOT(ISBLANK($B$80)),TRIM(MID(SUBSTITUTE('Analysis Sheet'!$B$80,", ",REPT(" ",LEN('Analysis Sheet'!$B$80))),((COLUMNS('Analysis Sheet'!$B$80:$B$80)-(OFFSET('Values Table'!O2,0,0)))*LEN('Analysis Sheet'!$B$80))+1,LEN('Analysis Sheet'!$B$80))))</f>
        <v/>
      </c>
      <c r="D80" s="49" t="str">
        <f ca="1">IF(NOT(ISBLANK($B$80)),TRIM(MID(SUBSTITUTE('Analysis Sheet'!$B$80,", ",REPT(" ",LEN('Analysis Sheet'!$B$80))),((COLUMNS('Analysis Sheet'!$B$80:$B$80)-(OFFSET('Values Table'!P2,0,0)))*LEN('Analysis Sheet'!$B$80))+1,LEN('Analysis Sheet'!$B$80))))</f>
        <v/>
      </c>
      <c r="E80" s="49" t="str">
        <f ca="1">IF(NOT(ISBLANK($B$80)),TRIM(MID(SUBSTITUTE('Analysis Sheet'!$B$80,", ",REPT(" ",LEN('Analysis Sheet'!$B$80))),((COLUMNS('Analysis Sheet'!$B$80:$B$80)-(OFFSET('Values Table'!Q2,0,0)))*LEN('Analysis Sheet'!$B$80))+1,LEN('Analysis Sheet'!$B$80))))</f>
        <v/>
      </c>
      <c r="F80" s="49" t="str">
        <f ca="1">IF(NOT(ISBLANK($B$80)),TRIM(MID(SUBSTITUTE('Analysis Sheet'!$B$80,", ",REPT(" ",LEN('Analysis Sheet'!$B$80))),((COLUMNS('Analysis Sheet'!$B$80:$B$80)-(OFFSET('Values Table'!R2,0,0)))*LEN('Analysis Sheet'!$B$80))+1,LEN('Analysis Sheet'!$B$80))))</f>
        <v/>
      </c>
      <c r="G80" s="49" t="str">
        <f ca="1">IF(NOT(ISBLANK($B$80)),TRIM(MID(SUBSTITUTE('Analysis Sheet'!$B$80,", ",REPT(" ",LEN('Analysis Sheet'!$B$80))),((COLUMNS('Analysis Sheet'!$B$80:$B$80)-(OFFSET('Values Table'!S2,0,0)))*LEN('Analysis Sheet'!$B$80))+1,LEN('Analysis Sheet'!$B$80))))</f>
        <v/>
      </c>
      <c r="H80" s="49" t="str">
        <f ca="1">IF(NOT(ISBLANK($B$80)),TRIM(MID(SUBSTITUTE('Analysis Sheet'!$B$80,", ",REPT(" ",LEN('Analysis Sheet'!$B$80))),((COLUMNS('Analysis Sheet'!$B$80:$B$80)-(OFFSET('Values Table'!T2,0,0)))*LEN('Analysis Sheet'!$B$80))+1,LEN('Analysis Sheet'!$B$80))))</f>
        <v/>
      </c>
      <c r="I80" s="49" t="str">
        <f ca="1">IF(NOT(ISBLANK($B$80)),TRIM(MID(SUBSTITUTE('Analysis Sheet'!$B$80,", ",REPT(" ",LEN('Analysis Sheet'!$B$80))),((COLUMNS('Analysis Sheet'!$B$80:$B$80)-(OFFSET('Values Table'!U2,0,0)))*LEN('Analysis Sheet'!$B$80))+1,LEN('Analysis Sheet'!$B$80))))</f>
        <v/>
      </c>
      <c r="J80" s="49" t="str">
        <f ca="1">IF(NOT(ISBLANK($B$80)),TRIM(MID(SUBSTITUTE('Analysis Sheet'!$B$80,", ",REPT(" ",LEN('Analysis Sheet'!$B$80))),((COLUMNS('Analysis Sheet'!$B$80:$B$80)-(OFFSET('Values Table'!V2,0,0)))*LEN('Analysis Sheet'!$B$80))+1,LEN('Analysis Sheet'!$B$80))))</f>
        <v/>
      </c>
      <c r="K80" s="49" t="str">
        <f ca="1">IF(NOT(ISBLANK($B$80)),TRIM(MID(SUBSTITUTE('Analysis Sheet'!$B$80,", ",REPT(" ",LEN('Analysis Sheet'!$B$80))),((COLUMNS('Analysis Sheet'!$B$80:$B$80)-(OFFSET('Values Table'!W2,0,0)))*LEN('Analysis Sheet'!$B$80))+1,LEN('Analysis Sheet'!$B$80))))</f>
        <v/>
      </c>
      <c r="L80" s="49" t="str">
        <f ca="1">IF(NOT(ISBLANK($B$80)),TRIM(MID(SUBSTITUTE('Analysis Sheet'!$B$80,", ",REPT(" ",LEN('Analysis Sheet'!$B$80))),((COLUMNS('Analysis Sheet'!$B$80:$B$80)-(OFFSET('Values Table'!X2,0,0)))*LEN('Analysis Sheet'!$B$80))+1,LEN('Analysis Sheet'!$B$80))))</f>
        <v/>
      </c>
      <c r="M80" s="49" t="str">
        <f ca="1">IF(NOT(ISBLANK($B$80)),TRIM(MID(SUBSTITUTE('Analysis Sheet'!$B$80,", ",REPT(" ",LEN('Analysis Sheet'!$B$80))),((COLUMNS('Analysis Sheet'!$B$80:$B$80)-(OFFSET('Values Table'!Y2,0,0)))*LEN('Analysis Sheet'!$B$80))+1,LEN('Analysis Sheet'!$B$80))))</f>
        <v/>
      </c>
      <c r="N80" s="49" t="str">
        <f ca="1">IF(NOT(ISBLANK($B$80)),TRIM(MID(SUBSTITUTE('Analysis Sheet'!$B$80,", ",REPT(" ",LEN('Analysis Sheet'!$B$80))),((COLUMNS('Analysis Sheet'!$B$80:$B$80)-(OFFSET('Values Table'!Z2,0,0)))*LEN('Analysis Sheet'!$B$80))+1,LEN('Analysis Sheet'!$B$80))))</f>
        <v/>
      </c>
      <c r="O80" s="49" t="str">
        <f ca="1">IF(NOT(ISBLANK($B$80)),TRIM(MID(SUBSTITUTE('Analysis Sheet'!$B$80,", ",REPT(" ",LEN('Analysis Sheet'!$B$80))),((COLUMNS('Analysis Sheet'!$B$80:$B$80)-(OFFSET('Values Table'!AA2,0,0)))*LEN('Analysis Sheet'!$B$80))+1,LEN('Analysis Sheet'!$B$80))))</f>
        <v/>
      </c>
      <c r="P80" s="49" t="str">
        <f ca="1">IF(NOT(ISBLANK($B$80)),TRIM(MID(SUBSTITUTE('Analysis Sheet'!$B$80,", ",REPT(" ",LEN('Analysis Sheet'!$B$80))),((COLUMNS('Analysis Sheet'!$B$80:$B$80)-(OFFSET('Values Table'!AB2,0,0)))*LEN('Analysis Sheet'!$B$80))+1,LEN('Analysis Sheet'!$B$80))))</f>
        <v/>
      </c>
      <c r="Q80" s="49" t="str">
        <f ca="1">IF(NOT(ISBLANK($B$80)),TRIM(MID(SUBSTITUTE('Analysis Sheet'!$B$80,", ",REPT(" ",LEN('Analysis Sheet'!$B$80))),((COLUMNS('Analysis Sheet'!$B$80:$B$80)-(OFFSET('Values Table'!AC2,0,0)))*LEN('Analysis Sheet'!$B$80))+1,LEN('Analysis Sheet'!$B$80))))</f>
        <v/>
      </c>
      <c r="R80" s="49" t="str">
        <f ca="1">IF(NOT(ISBLANK($B$80)),TRIM(MID(SUBSTITUTE('Analysis Sheet'!$B$80,", ",REPT(" ",LEN('Analysis Sheet'!$B$80))),((COLUMNS('Analysis Sheet'!$B$80:$B$80)-(OFFSET('Values Table'!AD2,0,0)))*LEN('Analysis Sheet'!$B$80))+1,LEN('Analysis Sheet'!$B$80))))</f>
        <v/>
      </c>
      <c r="S80" s="49" t="str">
        <f ca="1">IF(NOT(ISBLANK($B$80)),TRIM(MID(SUBSTITUTE('Analysis Sheet'!$B$80,", ",REPT(" ",LEN('Analysis Sheet'!$B$80))),((COLUMNS('Analysis Sheet'!$B$80:$B$80)-(OFFSET('Values Table'!AE2,0,0)))*LEN('Analysis Sheet'!$B$80))+1,LEN('Analysis Sheet'!$B$80))))</f>
        <v/>
      </c>
      <c r="T80" s="49" t="str">
        <f ca="1">IF(NOT(ISBLANK($B$80)),TRIM(MID(SUBSTITUTE('Analysis Sheet'!$B$80,", ",REPT(" ",LEN('Analysis Sheet'!$B$80))),((COLUMNS('Analysis Sheet'!$B$80:$B$80)-(OFFSET('Values Table'!AF2,0,0)))*LEN('Analysis Sheet'!$B$80))+1,LEN('Analysis Sheet'!$B$80))))</f>
        <v/>
      </c>
      <c r="U80" s="49" t="str">
        <f ca="1">IF(NOT(ISBLANK($B$80)),TRIM(MID(SUBSTITUTE('Analysis Sheet'!$B$80,", ",REPT(" ",LEN('Analysis Sheet'!$B$80))),((COLUMNS('Analysis Sheet'!$B$80:$B$80)-(OFFSET('Values Table'!AG2,0,0)))*LEN('Analysis Sheet'!$B$80))+1,LEN('Analysis Sheet'!$B$80))))</f>
        <v/>
      </c>
      <c r="V80" s="49" t="str">
        <f ca="1">IF(NOT(ISBLANK($B$80)),TRIM(MID(SUBSTITUTE('Analysis Sheet'!$B$80,", ",REPT(" ",LEN('Analysis Sheet'!$B$80))),((COLUMNS('Analysis Sheet'!$B$80:$B$80)-(OFFSET('Values Table'!AH2,0,0)))*LEN('Analysis Sheet'!$B$80))+1,LEN('Analysis Sheet'!$B$80))))</f>
        <v/>
      </c>
      <c r="W80" s="41"/>
      <c r="X80" s="20" t="str">
        <f ca="1">UNIQUE($C$64:$V$85, 17)</f>
        <v/>
      </c>
      <c r="Y80" s="3" t="str">
        <f ca="1">IFERROR(VLOOKUP('Analysis Sheet'!X80,'Values Table'!$A$2:$B$42,2,FALSE), "0")</f>
        <v>0</v>
      </c>
    </row>
    <row r="81" spans="1:25" s="3" customFormat="1" ht="15" customHeight="1" x14ac:dyDescent="0.3">
      <c r="A81" s="3" t="str">
        <f>UStrip('User Ranking Form'!A83)</f>
        <v/>
      </c>
      <c r="B81" s="19" t="str">
        <f>IFERROR(MatchWords('Analysis Sheet'!A81, 'Values Table'!$A$2:$B$42)," ")</f>
        <v xml:space="preserve"> </v>
      </c>
      <c r="C81" s="60" t="str">
        <f ca="1">IF(NOT(ISBLANK($B$81)),TRIM(MID(SUBSTITUTE('Analysis Sheet'!$B$81,", ",REPT(" ",LEN('Analysis Sheet'!$B$81))),((COLUMNS('Analysis Sheet'!$B$81:$B$81)-(OFFSET('Values Table'!O2,0,0)))*LEN('Analysis Sheet'!$B$81))+1,LEN('Analysis Sheet'!$B$81))))</f>
        <v/>
      </c>
      <c r="D81" s="49" t="str">
        <f ca="1">IF(NOT(ISBLANK($B$81)),TRIM(MID(SUBSTITUTE('Analysis Sheet'!$B$81,", ",REPT(" ",LEN('Analysis Sheet'!$B$81))),((COLUMNS('Analysis Sheet'!$B$81:$B$81)-(OFFSET('Values Table'!P2,0,0)))*LEN('Analysis Sheet'!$B$81))+1,LEN('Analysis Sheet'!$B$81))))</f>
        <v/>
      </c>
      <c r="E81" s="49" t="str">
        <f ca="1">IF(NOT(ISBLANK($B$81)),TRIM(MID(SUBSTITUTE('Analysis Sheet'!$B$81,", ",REPT(" ",LEN('Analysis Sheet'!$B$81))),((COLUMNS('Analysis Sheet'!$B$81:$B$81)-(OFFSET('Values Table'!Q2,0,0)))*LEN('Analysis Sheet'!$B$81))+1,LEN('Analysis Sheet'!$B$81))))</f>
        <v/>
      </c>
      <c r="F81" s="49" t="str">
        <f ca="1">IF(NOT(ISBLANK($B$81)),TRIM(MID(SUBSTITUTE('Analysis Sheet'!$B$81,", ",REPT(" ",LEN('Analysis Sheet'!$B$81))),((COLUMNS('Analysis Sheet'!$B$81:$B$81)-(OFFSET('Values Table'!R2,0,0)))*LEN('Analysis Sheet'!$B$81))+1,LEN('Analysis Sheet'!$B$81))))</f>
        <v/>
      </c>
      <c r="G81" s="49" t="str">
        <f ca="1">IF(NOT(ISBLANK($B$81)),TRIM(MID(SUBSTITUTE('Analysis Sheet'!$B$81,", ",REPT(" ",LEN('Analysis Sheet'!$B$81))),((COLUMNS('Analysis Sheet'!$B$81:$B$81)-(OFFSET('Values Table'!S2,0,0)))*LEN('Analysis Sheet'!$B$81))+1,LEN('Analysis Sheet'!$B$81))))</f>
        <v/>
      </c>
      <c r="H81" s="49" t="str">
        <f ca="1">IF(NOT(ISBLANK($B$81)),TRIM(MID(SUBSTITUTE('Analysis Sheet'!$B$81,", ",REPT(" ",LEN('Analysis Sheet'!$B$81))),((COLUMNS('Analysis Sheet'!$B$81:$B$81)-(OFFSET('Values Table'!T2,0,0)))*LEN('Analysis Sheet'!$B$81))+1,LEN('Analysis Sheet'!$B$81))))</f>
        <v/>
      </c>
      <c r="I81" s="49" t="str">
        <f ca="1">IF(NOT(ISBLANK($B$81)),TRIM(MID(SUBSTITUTE('Analysis Sheet'!$B$81,", ",REPT(" ",LEN('Analysis Sheet'!$B$81))),((COLUMNS('Analysis Sheet'!$B$81:$B$81)-(OFFSET('Values Table'!U2,0,0)))*LEN('Analysis Sheet'!$B$81))+1,LEN('Analysis Sheet'!$B$81))))</f>
        <v/>
      </c>
      <c r="J81" s="49" t="str">
        <f ca="1">IF(NOT(ISBLANK($B$81)),TRIM(MID(SUBSTITUTE('Analysis Sheet'!$B$81,", ",REPT(" ",LEN('Analysis Sheet'!$B$81))),((COLUMNS('Analysis Sheet'!$B$81:$B$81)-(OFFSET('Values Table'!V2,0,0)))*LEN('Analysis Sheet'!$B$81))+1,LEN('Analysis Sheet'!$B$81))))</f>
        <v/>
      </c>
      <c r="K81" s="49" t="str">
        <f ca="1">IF(NOT(ISBLANK($B$81)),TRIM(MID(SUBSTITUTE('Analysis Sheet'!$B$81,", ",REPT(" ",LEN('Analysis Sheet'!$B$81))),((COLUMNS('Analysis Sheet'!$B$81:$B$81)-(OFFSET('Values Table'!W2,0,0)))*LEN('Analysis Sheet'!$B$81))+1,LEN('Analysis Sheet'!$B$81))))</f>
        <v/>
      </c>
      <c r="L81" s="49" t="str">
        <f ca="1">IF(NOT(ISBLANK($B$81)),TRIM(MID(SUBSTITUTE('Analysis Sheet'!$B$81,", ",REPT(" ",LEN('Analysis Sheet'!$B$81))),((COLUMNS('Analysis Sheet'!$B$81:$B$81)-(OFFSET('Values Table'!X2,0,0)))*LEN('Analysis Sheet'!$B$81))+1,LEN('Analysis Sheet'!$B$81))))</f>
        <v/>
      </c>
      <c r="M81" s="49" t="str">
        <f ca="1">IF(NOT(ISBLANK($B$81)),TRIM(MID(SUBSTITUTE('Analysis Sheet'!$B$81,", ",REPT(" ",LEN('Analysis Sheet'!$B$81))),((COLUMNS('Analysis Sheet'!$B$81:$B$81)-(OFFSET('Values Table'!Y2,0,0)))*LEN('Analysis Sheet'!$B$81))+1,LEN('Analysis Sheet'!$B$81))))</f>
        <v/>
      </c>
      <c r="N81" s="49" t="str">
        <f ca="1">IF(NOT(ISBLANK($B$81)),TRIM(MID(SUBSTITUTE('Analysis Sheet'!$B$81,", ",REPT(" ",LEN('Analysis Sheet'!$B$81))),((COLUMNS('Analysis Sheet'!$B$81:$B$81)-(OFFSET('Values Table'!Z2,0,0)))*LEN('Analysis Sheet'!$B$81))+1,LEN('Analysis Sheet'!$B$81))))</f>
        <v/>
      </c>
      <c r="O81" s="49" t="str">
        <f ca="1">IF(NOT(ISBLANK($B$81)),TRIM(MID(SUBSTITUTE('Analysis Sheet'!$B$81,", ",REPT(" ",LEN('Analysis Sheet'!$B$81))),((COLUMNS('Analysis Sheet'!$B$81:$B$81)-(OFFSET('Values Table'!AA2,0,0)))*LEN('Analysis Sheet'!$B$81))+1,LEN('Analysis Sheet'!$B$81))))</f>
        <v/>
      </c>
      <c r="P81" s="49" t="str">
        <f ca="1">IF(NOT(ISBLANK($B$81)),TRIM(MID(SUBSTITUTE('Analysis Sheet'!$B$81,", ",REPT(" ",LEN('Analysis Sheet'!$B$81))),((COLUMNS('Analysis Sheet'!$B$81:$B$81)-(OFFSET('Values Table'!AB2,0,0)))*LEN('Analysis Sheet'!$B$81))+1,LEN('Analysis Sheet'!$B$81))))</f>
        <v/>
      </c>
      <c r="Q81" s="49" t="str">
        <f ca="1">IF(NOT(ISBLANK($B$81)),TRIM(MID(SUBSTITUTE('Analysis Sheet'!$B$81,", ",REPT(" ",LEN('Analysis Sheet'!$B$81))),((COLUMNS('Analysis Sheet'!$B$81:$B$81)-(OFFSET('Values Table'!AC2,0,0)))*LEN('Analysis Sheet'!$B$81))+1,LEN('Analysis Sheet'!$B$81))))</f>
        <v/>
      </c>
      <c r="R81" s="49" t="str">
        <f ca="1">IF(NOT(ISBLANK($B$81)),TRIM(MID(SUBSTITUTE('Analysis Sheet'!$B$81,", ",REPT(" ",LEN('Analysis Sheet'!$B$81))),((COLUMNS('Analysis Sheet'!$B$81:$B$81)-(OFFSET('Values Table'!AD2,0,0)))*LEN('Analysis Sheet'!$B$81))+1,LEN('Analysis Sheet'!$B$81))))</f>
        <v/>
      </c>
      <c r="S81" s="49" t="str">
        <f ca="1">IF(NOT(ISBLANK($B$81)),TRIM(MID(SUBSTITUTE('Analysis Sheet'!$B$81,", ",REPT(" ",LEN('Analysis Sheet'!$B$81))),((COLUMNS('Analysis Sheet'!$B$81:$B$81)-(OFFSET('Values Table'!AE2,0,0)))*LEN('Analysis Sheet'!$B$81))+1,LEN('Analysis Sheet'!$B$81))))</f>
        <v/>
      </c>
      <c r="T81" s="49" t="str">
        <f ca="1">IF(NOT(ISBLANK($B$81)),TRIM(MID(SUBSTITUTE('Analysis Sheet'!$B$81,", ",REPT(" ",LEN('Analysis Sheet'!$B$81))),((COLUMNS('Analysis Sheet'!$B$81:$B$81)-(OFFSET('Values Table'!AF2,0,0)))*LEN('Analysis Sheet'!$B$81))+1,LEN('Analysis Sheet'!$B$81))))</f>
        <v/>
      </c>
      <c r="U81" s="49" t="str">
        <f ca="1">IF(NOT(ISBLANK($B$81)),TRIM(MID(SUBSTITUTE('Analysis Sheet'!$B$81,", ",REPT(" ",LEN('Analysis Sheet'!$B$81))),((COLUMNS('Analysis Sheet'!$B$81:$B$81)-(OFFSET('Values Table'!AG2,0,0)))*LEN('Analysis Sheet'!$B$81))+1,LEN('Analysis Sheet'!$B$81))))</f>
        <v/>
      </c>
      <c r="V81" s="49" t="str">
        <f ca="1">IF(NOT(ISBLANK($B$81)),TRIM(MID(SUBSTITUTE('Analysis Sheet'!$B$81,", ",REPT(" ",LEN('Analysis Sheet'!$B$81))),((COLUMNS('Analysis Sheet'!$B$81:$B$81)-(OFFSET('Values Table'!AH2,0,0)))*LEN('Analysis Sheet'!$B$81))+1,LEN('Analysis Sheet'!$B$81))))</f>
        <v/>
      </c>
      <c r="W81" s="41"/>
      <c r="X81" s="20" t="str">
        <f ca="1">UNIQUE($C$64:$V$85, 18)</f>
        <v/>
      </c>
      <c r="Y81" s="3" t="str">
        <f ca="1">IFERROR(VLOOKUP('Analysis Sheet'!X81,'Values Table'!$A$2:$B$42,2,FALSE), "0")</f>
        <v>0</v>
      </c>
    </row>
    <row r="82" spans="1:25" s="3" customFormat="1" ht="15" customHeight="1" x14ac:dyDescent="0.3">
      <c r="A82" s="3" t="str">
        <f>UStrip('User Ranking Form'!A84)</f>
        <v/>
      </c>
      <c r="B82" s="19" t="str">
        <f>IFERROR(MatchWords('Analysis Sheet'!A82, 'Values Table'!$A$2:$B$42)," ")</f>
        <v xml:space="preserve"> </v>
      </c>
      <c r="C82" s="49" t="str">
        <f ca="1">IF(NOT(ISBLANK($B$82)),TRIM(MID(SUBSTITUTE('Analysis Sheet'!$B$82,", ",REPT(" ",LEN('Analysis Sheet'!$B$82))),((COLUMNS('Analysis Sheet'!$B$82:$B$82)-(OFFSET('Values Table'!O2,0,0)))*LEN('Analysis Sheet'!$B$82))+1,LEN('Analysis Sheet'!$B$82))))</f>
        <v/>
      </c>
      <c r="D82" s="49" t="str">
        <f ca="1">IF(NOT(ISBLANK($B$82)),TRIM(MID(SUBSTITUTE('Analysis Sheet'!$B$82,", ",REPT(" ",LEN('Analysis Sheet'!$B$82))),((COLUMNS('Analysis Sheet'!$B$82:$B$82)-(OFFSET('Values Table'!P2,0,0)))*LEN('Analysis Sheet'!$B$82))+1,LEN('Analysis Sheet'!$B$82))))</f>
        <v/>
      </c>
      <c r="E82" s="49" t="str">
        <f ca="1">IF(NOT(ISBLANK($B$82)),TRIM(MID(SUBSTITUTE('Analysis Sheet'!$B$82,", ",REPT(" ",LEN('Analysis Sheet'!$B$82))),((COLUMNS('Analysis Sheet'!$B$82:$B$82)-(OFFSET('Values Table'!Q2,0,0)))*LEN('Analysis Sheet'!$B$82))+1,LEN('Analysis Sheet'!$B$82))))</f>
        <v/>
      </c>
      <c r="F82" s="49" t="str">
        <f ca="1">IF(NOT(ISBLANK($B$82)),TRIM(MID(SUBSTITUTE('Analysis Sheet'!$B$82,", ",REPT(" ",LEN('Analysis Sheet'!$B$82))),((COLUMNS('Analysis Sheet'!$B$82:$B$82)-(OFFSET('Values Table'!R2,0,0)))*LEN('Analysis Sheet'!$B$82))+1,LEN('Analysis Sheet'!$B$82))))</f>
        <v/>
      </c>
      <c r="G82" s="49" t="str">
        <f ca="1">IF(NOT(ISBLANK($B$82)),TRIM(MID(SUBSTITUTE('Analysis Sheet'!$B$82,", ",REPT(" ",LEN('Analysis Sheet'!$B$82))),((COLUMNS('Analysis Sheet'!$B$82:$B$82)-(OFFSET('Values Table'!S2,0,0)))*LEN('Analysis Sheet'!$B$82))+1,LEN('Analysis Sheet'!$B$82))))</f>
        <v/>
      </c>
      <c r="H82" s="49" t="str">
        <f ca="1">IF(NOT(ISBLANK($B$82)),TRIM(MID(SUBSTITUTE('Analysis Sheet'!$B$82,", ",REPT(" ",LEN('Analysis Sheet'!$B$82))),((COLUMNS('Analysis Sheet'!$B$82:$B$82)-(OFFSET('Values Table'!T2,0,0)))*LEN('Analysis Sheet'!$B$82))+1,LEN('Analysis Sheet'!$B$82))))</f>
        <v/>
      </c>
      <c r="I82" s="49" t="str">
        <f ca="1">IF(NOT(ISBLANK($B$82)),TRIM(MID(SUBSTITUTE('Analysis Sheet'!$B$82,", ",REPT(" ",LEN('Analysis Sheet'!$B$82))),((COLUMNS('Analysis Sheet'!$B$82:$B$82)-(OFFSET('Values Table'!U2,0,0)))*LEN('Analysis Sheet'!$B$82))+1,LEN('Analysis Sheet'!$B$82))))</f>
        <v/>
      </c>
      <c r="J82" s="49" t="str">
        <f ca="1">IF(NOT(ISBLANK($B$82)),TRIM(MID(SUBSTITUTE('Analysis Sheet'!$B$82,", ",REPT(" ",LEN('Analysis Sheet'!$B$82))),((COLUMNS('Analysis Sheet'!$B$82:$B$82)-(OFFSET('Values Table'!V2,0,0)))*LEN('Analysis Sheet'!$B$82))+1,LEN('Analysis Sheet'!$B$82))))</f>
        <v/>
      </c>
      <c r="K82" s="49" t="str">
        <f ca="1">IF(NOT(ISBLANK($B$82)),TRIM(MID(SUBSTITUTE('Analysis Sheet'!$B$82,", ",REPT(" ",LEN('Analysis Sheet'!$B$82))),((COLUMNS('Analysis Sheet'!$B$82:$B$82)-(OFFSET('Values Table'!W2,0,0)))*LEN('Analysis Sheet'!$B$82))+1,LEN('Analysis Sheet'!$B$82))))</f>
        <v/>
      </c>
      <c r="L82" s="49" t="str">
        <f ca="1">IF(NOT(ISBLANK($B$82)),TRIM(MID(SUBSTITUTE('Analysis Sheet'!$B$82,", ",REPT(" ",LEN('Analysis Sheet'!$B$82))),((COLUMNS('Analysis Sheet'!$B$82:$B$82)-(OFFSET('Values Table'!X2,0,0)))*LEN('Analysis Sheet'!$B$82))+1,LEN('Analysis Sheet'!$B$82))))</f>
        <v/>
      </c>
      <c r="M82" s="49" t="str">
        <f ca="1">IF(NOT(ISBLANK($B$82)),TRIM(MID(SUBSTITUTE('Analysis Sheet'!$B$82,", ",REPT(" ",LEN('Analysis Sheet'!$B$82))),((COLUMNS('Analysis Sheet'!$B$82:$B$82)-(OFFSET('Values Table'!Y2,0,0)))*LEN('Analysis Sheet'!$B$82))+1,LEN('Analysis Sheet'!$B$82))))</f>
        <v/>
      </c>
      <c r="N82" s="49" t="str">
        <f ca="1">IF(NOT(ISBLANK($B$82)),TRIM(MID(SUBSTITUTE('Analysis Sheet'!$B$82,", ",REPT(" ",LEN('Analysis Sheet'!$B$82))),((COLUMNS('Analysis Sheet'!$B$82:$B$82)-(OFFSET('Values Table'!Z2,0,0)))*LEN('Analysis Sheet'!$B$82))+1,LEN('Analysis Sheet'!$B$82))))</f>
        <v/>
      </c>
      <c r="O82" s="49" t="str">
        <f ca="1">IF(NOT(ISBLANK($B$82)),TRIM(MID(SUBSTITUTE('Analysis Sheet'!$B$82,", ",REPT(" ",LEN('Analysis Sheet'!$B$82))),((COLUMNS('Analysis Sheet'!$B$82:$B$82)-(OFFSET('Values Table'!AA2,0,0)))*LEN('Analysis Sheet'!$B$82))+1,LEN('Analysis Sheet'!$B$82))))</f>
        <v/>
      </c>
      <c r="P82" s="49" t="str">
        <f ca="1">IF(NOT(ISBLANK($B$82)),TRIM(MID(SUBSTITUTE('Analysis Sheet'!$B$82,", ",REPT(" ",LEN('Analysis Sheet'!$B$82))),((COLUMNS('Analysis Sheet'!$B$82:$B$82)-(OFFSET('Values Table'!AB2,0,0)))*LEN('Analysis Sheet'!$B$82))+1,LEN('Analysis Sheet'!$B$82))))</f>
        <v/>
      </c>
      <c r="Q82" s="49" t="str">
        <f ca="1">IF(NOT(ISBLANK($B$82)),TRIM(MID(SUBSTITUTE('Analysis Sheet'!$B$82,", ",REPT(" ",LEN('Analysis Sheet'!$B$82))),((COLUMNS('Analysis Sheet'!$B$82:$B$82)-(OFFSET('Values Table'!AC2,0,0)))*LEN('Analysis Sheet'!$B$82))+1,LEN('Analysis Sheet'!$B$82))))</f>
        <v/>
      </c>
      <c r="R82" s="49" t="str">
        <f ca="1">IF(NOT(ISBLANK($B$82)),TRIM(MID(SUBSTITUTE('Analysis Sheet'!$B$82,", ",REPT(" ",LEN('Analysis Sheet'!$B$82))),((COLUMNS('Analysis Sheet'!$B$82:$B$82)-(OFFSET('Values Table'!AD2,0,0)))*LEN('Analysis Sheet'!$B$82))+1,LEN('Analysis Sheet'!$B$82))))</f>
        <v/>
      </c>
      <c r="S82" s="49" t="str">
        <f ca="1">IF(NOT(ISBLANK($B$82)),TRIM(MID(SUBSTITUTE('Analysis Sheet'!$B$82,", ",REPT(" ",LEN('Analysis Sheet'!$B$82))),((COLUMNS('Analysis Sheet'!$B$82:$B$82)-(OFFSET('Values Table'!AE2,0,0)))*LEN('Analysis Sheet'!$B$82))+1,LEN('Analysis Sheet'!$B$82))))</f>
        <v/>
      </c>
      <c r="T82" s="49" t="str">
        <f ca="1">IF(NOT(ISBLANK($B$82)),TRIM(MID(SUBSTITUTE('Analysis Sheet'!$B$82,", ",REPT(" ",LEN('Analysis Sheet'!$B$82))),((COLUMNS('Analysis Sheet'!$B$82:$B$82)-(OFFSET('Values Table'!AF2,0,0)))*LEN('Analysis Sheet'!$B$82))+1,LEN('Analysis Sheet'!$B$82))))</f>
        <v/>
      </c>
      <c r="U82" s="49" t="str">
        <f ca="1">IF(NOT(ISBLANK($B$82)),TRIM(MID(SUBSTITUTE('Analysis Sheet'!$B$82,", ",REPT(" ",LEN('Analysis Sheet'!$B$82))),((COLUMNS('Analysis Sheet'!$B$82:$B$82)-(OFFSET('Values Table'!AG2,0,0)))*LEN('Analysis Sheet'!$B$82))+1,LEN('Analysis Sheet'!$B$82))))</f>
        <v/>
      </c>
      <c r="V82" s="49" t="str">
        <f ca="1">IF(NOT(ISBLANK($B$82)),TRIM(MID(SUBSTITUTE('Analysis Sheet'!$B$82,", ",REPT(" ",LEN('Analysis Sheet'!$B$82))),((COLUMNS('Analysis Sheet'!$B$82:$B$82)-(OFFSET('Values Table'!AH2,0,0)))*LEN('Analysis Sheet'!$B$82))+1,LEN('Analysis Sheet'!$B$82))))</f>
        <v/>
      </c>
      <c r="W82" s="41"/>
      <c r="X82" s="20" t="str">
        <f ca="1">UNIQUE($C$64:$V$85, 19)</f>
        <v/>
      </c>
      <c r="Y82" s="3" t="str">
        <f ca="1">IFERROR(VLOOKUP('Analysis Sheet'!X82,'Values Table'!$A$2:$B$42,2,FALSE), "0")</f>
        <v>0</v>
      </c>
    </row>
    <row r="83" spans="1:25" s="3" customFormat="1" ht="15" customHeight="1" x14ac:dyDescent="0.3">
      <c r="A83" s="3" t="str">
        <f>UStrip('User Ranking Form'!A85)</f>
        <v/>
      </c>
      <c r="B83" s="19" t="str">
        <f>IFERROR(MatchWords('Analysis Sheet'!A83, 'Values Table'!$A$2:$B$42)," ")</f>
        <v xml:space="preserve"> </v>
      </c>
      <c r="C83" s="49" t="str">
        <f ca="1">IF(NOT(ISBLANK($B$83)),TRIM(MID(SUBSTITUTE('Analysis Sheet'!$B$83,", ",REPT(" ",LEN('Analysis Sheet'!$B$83))),((COLUMNS('Analysis Sheet'!$B$83:$B$83)-(OFFSET('Values Table'!O2,0,0)))*LEN('Analysis Sheet'!$B$83))+1,LEN('Analysis Sheet'!$B$83))))</f>
        <v/>
      </c>
      <c r="D83" s="49" t="str">
        <f ca="1">IF(NOT(ISBLANK($B$83)),TRIM(MID(SUBSTITUTE('Analysis Sheet'!$B$83,", ",REPT(" ",LEN('Analysis Sheet'!$B$83))),((COLUMNS('Analysis Sheet'!$B$83:$B$83)-(OFFSET('Values Table'!P2,0,0)))*LEN('Analysis Sheet'!$B$83))+1,LEN('Analysis Sheet'!$B$83))))</f>
        <v/>
      </c>
      <c r="E83" s="49" t="str">
        <f ca="1">IF(NOT(ISBLANK($B$83)),TRIM(MID(SUBSTITUTE('Analysis Sheet'!$B$83,", ",REPT(" ",LEN('Analysis Sheet'!$B$83))),((COLUMNS('Analysis Sheet'!$B$83:$B$83)-(OFFSET('Values Table'!Q2,0,0)))*LEN('Analysis Sheet'!$B$83))+1,LEN('Analysis Sheet'!$B$83))))</f>
        <v/>
      </c>
      <c r="F83" s="49" t="str">
        <f ca="1">IF(NOT(ISBLANK($B$83)),TRIM(MID(SUBSTITUTE('Analysis Sheet'!$B$83,", ",REPT(" ",LEN('Analysis Sheet'!$B$83))),((COLUMNS('Analysis Sheet'!$B$83:$B$83)-(OFFSET('Values Table'!R2,0,0)))*LEN('Analysis Sheet'!$B$83))+1,LEN('Analysis Sheet'!$B$83))))</f>
        <v/>
      </c>
      <c r="G83" s="49" t="str">
        <f ca="1">IF(NOT(ISBLANK($B$83)),TRIM(MID(SUBSTITUTE('Analysis Sheet'!$B$83,", ",REPT(" ",LEN('Analysis Sheet'!$B$83))),((COLUMNS('Analysis Sheet'!$B$83:$B$83)-(OFFSET('Values Table'!S2,0,0)))*LEN('Analysis Sheet'!$B$83))+1,LEN('Analysis Sheet'!$B$83))))</f>
        <v/>
      </c>
      <c r="H83" s="49" t="str">
        <f ca="1">IF(NOT(ISBLANK($B$83)),TRIM(MID(SUBSTITUTE('Analysis Sheet'!$B$83,", ",REPT(" ",LEN('Analysis Sheet'!$B$83))),((COLUMNS('Analysis Sheet'!$B$83:$B$83)-(OFFSET('Values Table'!T2,0,0)))*LEN('Analysis Sheet'!$B$83))+1,LEN('Analysis Sheet'!$B$83))))</f>
        <v/>
      </c>
      <c r="I83" s="49" t="str">
        <f ca="1">IF(NOT(ISBLANK($B$83)),TRIM(MID(SUBSTITUTE('Analysis Sheet'!$B$83,", ",REPT(" ",LEN('Analysis Sheet'!$B$83))),((COLUMNS('Analysis Sheet'!$B$83:$B$83)-(OFFSET('Values Table'!U2,0,0)))*LEN('Analysis Sheet'!$B$83))+1,LEN('Analysis Sheet'!$B$83))))</f>
        <v/>
      </c>
      <c r="J83" s="49" t="str">
        <f ca="1">IF(NOT(ISBLANK($B$83)),TRIM(MID(SUBSTITUTE('Analysis Sheet'!$B$83,", ",REPT(" ",LEN('Analysis Sheet'!$B$83))),((COLUMNS('Analysis Sheet'!$B$83:$B$83)-(OFFSET('Values Table'!V2,0,0)))*LEN('Analysis Sheet'!$B$83))+1,LEN('Analysis Sheet'!$B$83))))</f>
        <v/>
      </c>
      <c r="K83" s="49" t="str">
        <f ca="1">IF(NOT(ISBLANK($B$83)),TRIM(MID(SUBSTITUTE('Analysis Sheet'!$B$83,", ",REPT(" ",LEN('Analysis Sheet'!$B$83))),((COLUMNS('Analysis Sheet'!$B$83:$B$83)-(OFFSET('Values Table'!W2,0,0)))*LEN('Analysis Sheet'!$B$83))+1,LEN('Analysis Sheet'!$B$83))))</f>
        <v/>
      </c>
      <c r="L83" s="49" t="str">
        <f ca="1">IF(NOT(ISBLANK($B$83)),TRIM(MID(SUBSTITUTE('Analysis Sheet'!$B$83,", ",REPT(" ",LEN('Analysis Sheet'!$B$83))),((COLUMNS('Analysis Sheet'!$B$83:$B$83)-(OFFSET('Values Table'!X2,0,0)))*LEN('Analysis Sheet'!$B$83))+1,LEN('Analysis Sheet'!$B$83))))</f>
        <v/>
      </c>
      <c r="M83" s="49" t="str">
        <f ca="1">IF(NOT(ISBLANK($B$83)),TRIM(MID(SUBSTITUTE('Analysis Sheet'!$B$83,", ",REPT(" ",LEN('Analysis Sheet'!$B$83))),((COLUMNS('Analysis Sheet'!$B$83:$B$83)-(OFFSET('Values Table'!Y2,0,0)))*LEN('Analysis Sheet'!$B$83))+1,LEN('Analysis Sheet'!$B$83))))</f>
        <v/>
      </c>
      <c r="N83" s="49" t="str">
        <f ca="1">IF(NOT(ISBLANK($B$83)),TRIM(MID(SUBSTITUTE('Analysis Sheet'!$B$83,", ",REPT(" ",LEN('Analysis Sheet'!$B$83))),((COLUMNS('Analysis Sheet'!$B$83:$B$83)-(OFFSET('Values Table'!Z2,0,0)))*LEN('Analysis Sheet'!$B$83))+1,LEN('Analysis Sheet'!$B$83))))</f>
        <v/>
      </c>
      <c r="O83" s="49" t="str">
        <f ca="1">IF(NOT(ISBLANK($B$83)),TRIM(MID(SUBSTITUTE('Analysis Sheet'!$B$83,", ",REPT(" ",LEN('Analysis Sheet'!$B$83))),((COLUMNS('Analysis Sheet'!$B$83:$B$83)-(OFFSET('Values Table'!AA2,0,0)))*LEN('Analysis Sheet'!$B$83))+1,LEN('Analysis Sheet'!$B$83))))</f>
        <v/>
      </c>
      <c r="P83" s="49" t="str">
        <f ca="1">IF(NOT(ISBLANK($B$83)),TRIM(MID(SUBSTITUTE('Analysis Sheet'!$B$83,", ",REPT(" ",LEN('Analysis Sheet'!$B$83))),((COLUMNS('Analysis Sheet'!$B$83:$B$83)-(OFFSET('Values Table'!AB2,0,0)))*LEN('Analysis Sheet'!$B$83))+1,LEN('Analysis Sheet'!$B$83))))</f>
        <v/>
      </c>
      <c r="Q83" s="49" t="str">
        <f ca="1">IF(NOT(ISBLANK($B$83)),TRIM(MID(SUBSTITUTE('Analysis Sheet'!$B$83,", ",REPT(" ",LEN('Analysis Sheet'!$B$83))),((COLUMNS('Analysis Sheet'!$B$83:$B$83)-(OFFSET('Values Table'!AC2,0,0)))*LEN('Analysis Sheet'!$B$83))+1,LEN('Analysis Sheet'!$B$83))))</f>
        <v/>
      </c>
      <c r="R83" s="49" t="str">
        <f ca="1">IF(NOT(ISBLANK($B$83)),TRIM(MID(SUBSTITUTE('Analysis Sheet'!$B$83,", ",REPT(" ",LEN('Analysis Sheet'!$B$83))),((COLUMNS('Analysis Sheet'!$B$83:$B$83)-(OFFSET('Values Table'!AD2,0,0)))*LEN('Analysis Sheet'!$B$83))+1,LEN('Analysis Sheet'!$B$83))))</f>
        <v/>
      </c>
      <c r="S83" s="49" t="str">
        <f ca="1">IF(NOT(ISBLANK($B$83)),TRIM(MID(SUBSTITUTE('Analysis Sheet'!$B$83,", ",REPT(" ",LEN('Analysis Sheet'!$B$83))),((COLUMNS('Analysis Sheet'!$B$83:$B$83)-(OFFSET('Values Table'!AE2,0,0)))*LEN('Analysis Sheet'!$B$83))+1,LEN('Analysis Sheet'!$B$83))))</f>
        <v/>
      </c>
      <c r="T83" s="49" t="str">
        <f ca="1">IF(NOT(ISBLANK($B$83)),TRIM(MID(SUBSTITUTE('Analysis Sheet'!$B$83,", ",REPT(" ",LEN('Analysis Sheet'!$B$83))),((COLUMNS('Analysis Sheet'!$B$83:$B$83)-(OFFSET('Values Table'!AF2,0,0)))*LEN('Analysis Sheet'!$B$83))+1,LEN('Analysis Sheet'!$B$83))))</f>
        <v/>
      </c>
      <c r="U83" s="49" t="str">
        <f ca="1">IF(NOT(ISBLANK($B$83)),TRIM(MID(SUBSTITUTE('Analysis Sheet'!$B$83,", ",REPT(" ",LEN('Analysis Sheet'!$B$83))),((COLUMNS('Analysis Sheet'!$B$83:$B$83)-(OFFSET('Values Table'!AG2,0,0)))*LEN('Analysis Sheet'!$B$83))+1,LEN('Analysis Sheet'!$B$83))))</f>
        <v/>
      </c>
      <c r="V83" s="49" t="str">
        <f ca="1">IF(NOT(ISBLANK($B$83)),TRIM(MID(SUBSTITUTE('Analysis Sheet'!$B$83,", ",REPT(" ",LEN('Analysis Sheet'!$B$83))),((COLUMNS('Analysis Sheet'!$B$83:$B$83)-(OFFSET('Values Table'!AH2,0,0)))*LEN('Analysis Sheet'!$B$83))+1,LEN('Analysis Sheet'!$B$83))))</f>
        <v/>
      </c>
      <c r="W83" s="41"/>
      <c r="X83" s="20" t="str">
        <f ca="1">UNIQUE($C$64:$V$85, 20)</f>
        <v/>
      </c>
      <c r="Y83" s="3" t="str">
        <f ca="1">IFERROR(VLOOKUP('Analysis Sheet'!X83,'Values Table'!$A$2:$B$42,2,FALSE), "0")</f>
        <v>0</v>
      </c>
    </row>
    <row r="84" spans="1:25" ht="15" customHeight="1" x14ac:dyDescent="0.3">
      <c r="B84" s="46" t="str">
        <f>IFERROR(MatchWords('Analysis Sheet'!A84, 'Values Table'!$A$2:$B$5)," ")</f>
        <v xml:space="preserve"> </v>
      </c>
      <c r="C84" s="24" t="str">
        <f>TRIM(MID(SUBSTITUTE('Analysis Sheet'!B84,", ",REPT(" ",LEN('Analysis Sheet'!B84))),((COLUMNS('Analysis Sheet'!B84:B84)-1)*LEN('Analysis Sheet'!B84))+1,LEN('Analysis Sheet'!B84)))</f>
        <v/>
      </c>
    </row>
    <row r="85" spans="1:25" ht="15" customHeight="1" x14ac:dyDescent="0.3">
      <c r="B85" s="46" t="str">
        <f>IFERROR(MatchWords('Analysis Sheet'!A85, 'Values Table'!$A$2:$B$5)," ")</f>
        <v xml:space="preserve"> </v>
      </c>
      <c r="C85" s="24" t="str">
        <f>TRIM(MID(SUBSTITUTE('Analysis Sheet'!B85,", ",REPT(" ",LEN('Analysis Sheet'!B85))),((COLUMNS('Analysis Sheet'!B85:B85)-1)*LEN('Analysis Sheet'!B85))+1,LEN('Analysis Sheet'!B85)))</f>
        <v/>
      </c>
    </row>
  </sheetData>
  <sheetProtection algorithmName="SHA-512" hashValue="9SWSn1Qsb5k6hDB4yETqUsISl8P+LPhBSs0akiYcNTXl1fM0i074woCPSAhm9EAGFJ8+6W8LtFgcVASbqF/Exg==" saltValue="VGWbhRBGkAUaf3UchjOtWw==" spinCount="100000" sheet="1" objects="1" scenarios="1" selectLockedCells="1" selectUnlockedCell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f2cc7e28-76d5-422f-bcca-2a0556c9d999">
      <UserInfo>
        <DisplayName>Mauricio Palma</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8A3F77218F3704EB4A19C6E548B218B" ma:contentTypeVersion="1" ma:contentTypeDescription="Create a new document." ma:contentTypeScope="" ma:versionID="727f02493b502e0e2184a29b763f18cf">
  <xsd:schema xmlns:xsd="http://www.w3.org/2001/XMLSchema" xmlns:xs="http://www.w3.org/2001/XMLSchema" xmlns:p="http://schemas.microsoft.com/office/2006/metadata/properties" xmlns:ns3="f2cc7e28-76d5-422f-bcca-2a0556c9d999" targetNamespace="http://schemas.microsoft.com/office/2006/metadata/properties" ma:root="true" ma:fieldsID="b40d984bf55aaaae5d7c85f22ffc2039" ns3:_="">
    <xsd:import namespace="f2cc7e28-76d5-422f-bcca-2a0556c9d999"/>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cc7e28-76d5-422f-bcca-2a0556c9d99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99B019-7393-4D25-8F54-0CE995DC3BA1}">
  <ds:schemaRefs>
    <ds:schemaRef ds:uri="http://schemas.microsoft.com/sharepoint/v3/contenttype/forms"/>
  </ds:schemaRefs>
</ds:datastoreItem>
</file>

<file path=customXml/itemProps2.xml><?xml version="1.0" encoding="utf-8"?>
<ds:datastoreItem xmlns:ds="http://schemas.openxmlformats.org/officeDocument/2006/customXml" ds:itemID="{3783AB02-D39D-4261-8518-8B26FF72F345}">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f2cc7e28-76d5-422f-bcca-2a0556c9d999"/>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A62F781D-08A8-4FA1-9586-862935B69F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cc7e28-76d5-422f-bcca-2a0556c9d9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Form Overview</vt:lpstr>
      <vt:lpstr>User Ranking Form</vt:lpstr>
      <vt:lpstr>Values Table</vt:lpstr>
      <vt:lpstr>Analysis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kkirk@siliconvalleycf.org</dc:creator>
  <cp:keywords/>
  <dc:description/>
  <cp:lastModifiedBy>Michael</cp:lastModifiedBy>
  <cp:revision/>
  <dcterms:created xsi:type="dcterms:W3CDTF">2014-09-18T00:39:04Z</dcterms:created>
  <dcterms:modified xsi:type="dcterms:W3CDTF">2017-11-13T05:14:11Z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0x01010068A3F77218F3704EB4A19C6E548B218B</vt:lpwstr>
  </property>
  <property fmtid="{D5CDD505-2E9C-101B-9397-08002B2CF9AE}" pid="3" name="IsMyDocuments">
    <vt:bool>true</vt:bool>
  </property>
</Properties>
</file>